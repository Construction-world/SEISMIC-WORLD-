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20055" windowHeight="8445"/>
  </bookViews>
  <sheets>
    <sheet name="Design Sheet" sheetId="1" r:id="rId1"/>
    <sheet name="References" sheetId="2" r:id="rId2"/>
    <sheet name="Sheet3" sheetId="3" r:id="rId3"/>
  </sheets>
  <definedNames>
    <definedName name="A325N">'Design Sheet'!$M$96:$M$97</definedName>
    <definedName name="A325X">'Design Sheet'!$O$96:$O$97</definedName>
    <definedName name="A490N">'Design Sheet'!$Q$96</definedName>
    <definedName name="A490X">'Design Sheet'!$S$96</definedName>
    <definedName name="E.4">'Design Sheet'!$R$61:$R$62</definedName>
    <definedName name="E.6">'Design Sheet'!$T$61</definedName>
    <definedName name="E.8">'Design Sheet'!$V$61:$V$62</definedName>
    <definedName name="Extended.End.Plate">'Design Sheet'!$S$57:$S$59</definedName>
    <definedName name="Extended_End_Plate">'Design Sheet'!$S$56:$S$59</definedName>
    <definedName name="F.2">'Design Sheet'!$V$56</definedName>
    <definedName name="F.4">'Design Sheet'!$W$56:$W$58</definedName>
    <definedName name="Flush.End.Plate">'Design Sheet'!$R$57:$R$58</definedName>
    <definedName name="Flush_End_Plate">'Design Sheet'!$R$56:$R$58</definedName>
    <definedName name="_xlnm.Print_Area" localSheetId="0">'Design Sheet'!$A$1:$J$178</definedName>
  </definedNames>
  <calcPr calcId="124519"/>
</workbook>
</file>

<file path=xl/calcChain.xml><?xml version="1.0" encoding="utf-8"?>
<calcChain xmlns="http://schemas.openxmlformats.org/spreadsheetml/2006/main">
  <c r="C96" i="1"/>
  <c r="E119"/>
  <c r="E118"/>
  <c r="E116"/>
  <c r="H122"/>
  <c r="E117"/>
  <c r="B172"/>
  <c r="B123"/>
  <c r="Q102"/>
  <c r="G177" s="1"/>
  <c r="O101"/>
  <c r="P101"/>
  <c r="P102"/>
  <c r="C164"/>
  <c r="D167" s="1"/>
  <c r="E123"/>
  <c r="D159"/>
  <c r="H123"/>
  <c r="B117"/>
  <c r="B131"/>
  <c r="D170"/>
  <c r="C165"/>
  <c r="D141" l="1"/>
  <c r="M102"/>
  <c r="H116"/>
  <c r="N117"/>
  <c r="N118"/>
  <c r="B120"/>
  <c r="B119"/>
  <c r="H119"/>
  <c r="B116"/>
  <c r="O126"/>
  <c r="B127"/>
  <c r="B126"/>
  <c r="H117"/>
  <c r="D131"/>
  <c r="D130"/>
  <c r="D128"/>
  <c r="D127"/>
  <c r="B130"/>
  <c r="B128"/>
  <c r="Q108"/>
  <c r="D126" s="1"/>
  <c r="Q111"/>
  <c r="D129" s="1"/>
  <c r="L111"/>
  <c r="B129" s="1"/>
  <c r="B121" l="1"/>
  <c r="E128"/>
  <c r="E130"/>
  <c r="E177"/>
  <c r="E131"/>
  <c r="E126"/>
  <c r="E129"/>
  <c r="E127"/>
  <c r="E120"/>
  <c r="E122" s="1"/>
  <c r="K107"/>
  <c r="C143" l="1"/>
  <c r="O71"/>
  <c r="O73"/>
  <c r="O68"/>
  <c r="O69"/>
  <c r="O67"/>
  <c r="O75"/>
  <c r="O70"/>
  <c r="O66"/>
  <c r="O74"/>
  <c r="O72"/>
  <c r="O65"/>
  <c r="B118"/>
  <c r="E121" s="1"/>
  <c r="H118" l="1"/>
  <c r="D137" s="1"/>
  <c r="B142" s="1"/>
  <c r="D124" s="1"/>
  <c r="B122"/>
  <c r="Q124" s="1"/>
  <c r="H121" s="1"/>
  <c r="H120"/>
  <c r="K105"/>
  <c r="Q121"/>
  <c r="R119"/>
  <c r="Q119" l="1"/>
  <c r="Q118"/>
  <c r="E155"/>
  <c r="C138"/>
  <c r="N124"/>
  <c r="C155" s="1"/>
  <c r="C177" s="1"/>
  <c r="Q120"/>
  <c r="R118"/>
</calcChain>
</file>

<file path=xl/comments1.xml><?xml version="1.0" encoding="utf-8"?>
<comments xmlns="http://schemas.openxmlformats.org/spreadsheetml/2006/main">
  <authors>
    <author>safwat</author>
  </authors>
  <commentList>
    <comment ref="H112" authorId="0">
      <text>
        <r>
          <rPr>
            <sz val="11"/>
            <color indexed="81"/>
            <rFont val="Pristina"/>
            <family val="4"/>
          </rPr>
          <t>(+ve) sign for tension</t>
        </r>
      </text>
    </comment>
  </commentList>
</comments>
</file>

<file path=xl/sharedStrings.xml><?xml version="1.0" encoding="utf-8"?>
<sst xmlns="http://schemas.openxmlformats.org/spreadsheetml/2006/main" count="398" uniqueCount="309">
  <si>
    <t>PROJECT :</t>
  </si>
  <si>
    <t>KING SAUD UNIVERSITY</t>
  </si>
  <si>
    <t>DATE:</t>
  </si>
  <si>
    <t>Prep. By:</t>
  </si>
  <si>
    <t>S.S.</t>
  </si>
  <si>
    <t>Check. :</t>
  </si>
  <si>
    <t>MB</t>
  </si>
  <si>
    <t>Cert. :</t>
  </si>
  <si>
    <t>BUILDING:</t>
  </si>
  <si>
    <t>B#24- GRAND FOYER</t>
  </si>
  <si>
    <t>Members</t>
  </si>
  <si>
    <t>Joint</t>
  </si>
  <si>
    <t>CASE NO</t>
  </si>
  <si>
    <t>CASE OF LOADING DESCRIPTION</t>
  </si>
  <si>
    <t>D + L</t>
  </si>
  <si>
    <t>-All Dimensions in mm ,Forces in ton and stresses t/cm2.</t>
  </si>
  <si>
    <t>NOTATIONS</t>
  </si>
  <si>
    <t>A)DESIGN INPUT</t>
  </si>
  <si>
    <t>Type of Connection</t>
  </si>
  <si>
    <t>B)DESIGN PARAMATERS</t>
  </si>
  <si>
    <r>
      <rPr>
        <b/>
        <sz val="12"/>
        <color theme="1"/>
        <rFont val="Calibri"/>
        <family val="2"/>
      </rPr>
      <t>ɣ</t>
    </r>
    <r>
      <rPr>
        <b/>
        <sz val="10"/>
        <color theme="1"/>
        <rFont val="Calibri"/>
        <family val="2"/>
      </rPr>
      <t>r-</t>
    </r>
    <r>
      <rPr>
        <sz val="10"/>
        <color theme="1"/>
        <rFont val="Calibri"/>
        <family val="2"/>
      </rPr>
      <t>Load Factor to limit connection</t>
    </r>
  </si>
  <si>
    <t xml:space="preserve">      rotation at ultimate moment</t>
  </si>
  <si>
    <t xml:space="preserve">      to 10% of simple span rotation</t>
  </si>
  <si>
    <t>MM</t>
  </si>
  <si>
    <t>h =</t>
  </si>
  <si>
    <r>
      <t>h-</t>
    </r>
    <r>
      <rPr>
        <sz val="11"/>
        <color theme="1"/>
        <rFont val="Calibri"/>
        <family val="2"/>
        <scheme val="minor"/>
      </rPr>
      <t>Total Beam depth</t>
    </r>
  </si>
  <si>
    <t>g =</t>
  </si>
  <si>
    <r>
      <t>g-</t>
    </r>
    <r>
      <rPr>
        <sz val="11"/>
        <color theme="1"/>
        <rFont val="Calibri"/>
        <family val="2"/>
        <scheme val="minor"/>
      </rPr>
      <t>Bolt Gage</t>
    </r>
  </si>
  <si>
    <r>
      <t>h</t>
    </r>
    <r>
      <rPr>
        <sz val="8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=</t>
    </r>
  </si>
  <si>
    <t>to the outer bolt centerline in extended end plate connection</t>
  </si>
  <si>
    <t>to the farthest inner load-carrying bolt line.</t>
  </si>
  <si>
    <r>
      <rPr>
        <b/>
        <sz val="11"/>
        <color theme="1"/>
        <rFont val="Calibri"/>
        <family val="2"/>
        <scheme val="minor"/>
      </rPr>
      <t>h</t>
    </r>
    <r>
      <rPr>
        <b/>
        <sz val="9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distance from the compression side of the beam</t>
    </r>
  </si>
  <si>
    <t>to the second farthest inner load-carrying bolt line.</t>
  </si>
  <si>
    <t>to the third farthest inner load-carrying bolt line.</t>
  </si>
  <si>
    <t>Type of Bolt</t>
  </si>
  <si>
    <t>A325N</t>
  </si>
  <si>
    <t>A325X</t>
  </si>
  <si>
    <t>A490N</t>
  </si>
  <si>
    <t>A490X</t>
  </si>
  <si>
    <r>
      <t>Y-</t>
    </r>
    <r>
      <rPr>
        <sz val="11"/>
        <color theme="1"/>
        <rFont val="Calibri"/>
        <family val="2"/>
        <scheme val="minor"/>
      </rPr>
      <t>Yield line mechanism parameter</t>
    </r>
  </si>
  <si>
    <t>C)LIMITS OF APPLICABILITY</t>
  </si>
  <si>
    <t>Unstiffened</t>
  </si>
  <si>
    <t>Flush.End.Plate</t>
  </si>
  <si>
    <t>Extended.End.Plate</t>
  </si>
  <si>
    <t>Bolts Arrangement</t>
  </si>
  <si>
    <t>Stiff. Arrangement</t>
  </si>
  <si>
    <t>Stiffened Between the bolt tension rows</t>
  </si>
  <si>
    <t>Stiffened inside the bolt tension rows</t>
  </si>
  <si>
    <t>F.2</t>
  </si>
  <si>
    <t>F.4</t>
  </si>
  <si>
    <t>E.4</t>
  </si>
  <si>
    <t>Stiffened</t>
  </si>
  <si>
    <t>E.6</t>
  </si>
  <si>
    <t>E.8</t>
  </si>
  <si>
    <r>
      <rPr>
        <b/>
        <sz val="11"/>
        <color theme="1"/>
        <rFont val="Calibri"/>
        <family val="2"/>
        <scheme val="minor"/>
      </rPr>
      <t>h-</t>
    </r>
    <r>
      <rPr>
        <sz val="11"/>
        <color theme="1"/>
        <rFont val="Calibri"/>
        <family val="2"/>
        <scheme val="minor"/>
      </rPr>
      <t>Total depth of the beam</t>
    </r>
  </si>
  <si>
    <t>t/cm2</t>
  </si>
  <si>
    <r>
      <t>s(1/2</t>
    </r>
    <r>
      <rPr>
        <b/>
        <sz val="11"/>
        <color theme="1"/>
        <rFont val="Calibri"/>
        <family val="2"/>
      </rPr>
      <t>√bp*g)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Distance from the innermost</t>
    </r>
  </si>
  <si>
    <t xml:space="preserve"> bolt centerline to the innermost </t>
  </si>
  <si>
    <t>yield line</t>
  </si>
  <si>
    <t>s =</t>
  </si>
  <si>
    <t>flange to the near face of the beam tension flange</t>
  </si>
  <si>
    <r>
      <t>P</t>
    </r>
    <r>
      <rPr>
        <b/>
        <sz val="8"/>
        <color theme="1"/>
        <rFont val="Calibri"/>
        <family val="2"/>
        <scheme val="minor"/>
      </rPr>
      <t>f,O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 xml:space="preserve">distance from the outer bolt centerline to the outer face </t>
    </r>
  </si>
  <si>
    <t>of the beam tension flange</t>
  </si>
  <si>
    <r>
      <t>P</t>
    </r>
    <r>
      <rPr>
        <b/>
        <sz val="8"/>
        <color theme="1"/>
        <rFont val="Calibri"/>
        <family val="2"/>
        <scheme val="minor"/>
      </rPr>
      <t>f,i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distance from the bolt centerline adjacent to beam tension</t>
    </r>
  </si>
  <si>
    <r>
      <t>F</t>
    </r>
    <r>
      <rPr>
        <b/>
        <sz val="8"/>
        <color theme="1"/>
        <rFont val="Calibri"/>
        <family val="2"/>
        <scheme val="minor"/>
      </rPr>
      <t>yp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End plate material yield stress</t>
    </r>
  </si>
  <si>
    <r>
      <rPr>
        <b/>
        <sz val="11"/>
        <color theme="1"/>
        <rFont val="Calibri"/>
        <family val="2"/>
        <scheme val="minor"/>
      </rPr>
      <t>d</t>
    </r>
    <r>
      <rPr>
        <b/>
        <sz val="9"/>
        <color theme="1"/>
        <rFont val="Calibri"/>
        <family val="2"/>
        <scheme val="minor"/>
      </rPr>
      <t>b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nominal bolt diameter</t>
    </r>
  </si>
  <si>
    <r>
      <t>t</t>
    </r>
    <r>
      <rPr>
        <b/>
        <sz val="8"/>
        <color theme="1"/>
        <rFont val="Calibri"/>
        <family val="2"/>
        <scheme val="minor"/>
      </rPr>
      <t>p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End Plate Thickness</t>
    </r>
  </si>
  <si>
    <r>
      <t>b</t>
    </r>
    <r>
      <rPr>
        <b/>
        <sz val="8"/>
        <color theme="1"/>
        <rFont val="Calibri"/>
        <family val="2"/>
        <scheme val="minor"/>
      </rPr>
      <t>p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End Plate Width</t>
    </r>
  </si>
  <si>
    <r>
      <rPr>
        <b/>
        <sz val="11"/>
        <color theme="1"/>
        <rFont val="Calibri"/>
        <family val="2"/>
        <scheme val="minor"/>
      </rPr>
      <t>h</t>
    </r>
    <r>
      <rPr>
        <b/>
        <sz val="8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distance from the compression side of the beam</t>
    </r>
  </si>
  <si>
    <r>
      <rPr>
        <b/>
        <sz val="11"/>
        <color theme="1"/>
        <rFont val="Calibri"/>
        <family val="2"/>
        <scheme val="minor"/>
      </rPr>
      <t>h</t>
    </r>
    <r>
      <rPr>
        <b/>
        <sz val="8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distance from the compression side of the beam</t>
    </r>
  </si>
  <si>
    <r>
      <rPr>
        <b/>
        <sz val="11"/>
        <color theme="1"/>
        <rFont val="Calibri"/>
        <family val="2"/>
        <scheme val="minor"/>
      </rPr>
      <t>h</t>
    </r>
    <r>
      <rPr>
        <b/>
        <sz val="8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distance from the compression side of the beam</t>
    </r>
  </si>
  <si>
    <t>Y=bp/2 [ h1*(1/pf + 1/s) ] + 2/g  * [ h1 (pf + s) ]</t>
  </si>
  <si>
    <r>
      <t>P</t>
    </r>
    <r>
      <rPr>
        <b/>
        <sz val="9"/>
        <color theme="1"/>
        <rFont val="Calibri"/>
        <family val="2"/>
        <scheme val="minor"/>
      </rPr>
      <t>b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distance from bolt CL to bolt CL</t>
    </r>
  </si>
  <si>
    <t>Y= bp/2 [ h1(1/pf) + h2(1/s) ] + 2/g * [h1(pf+0.75Pb)+h2(s+0.25Pb)]+g/2</t>
  </si>
  <si>
    <t>Y= bp/2 [ h1(1/pf + 1/ps,o) + h2(1/s + 1 / ps,i) ] + 2/g * [h1(pf + ps,o) + h2 ( s + Ps,i ) ]</t>
  </si>
  <si>
    <r>
      <t>P</t>
    </r>
    <r>
      <rPr>
        <sz val="8"/>
        <color theme="1"/>
        <rFont val="Calibri"/>
        <family val="2"/>
        <scheme val="minor"/>
      </rPr>
      <t>s,o</t>
    </r>
    <r>
      <rPr>
        <sz val="11"/>
        <color theme="1"/>
        <rFont val="Calibri"/>
        <family val="2"/>
        <scheme val="minor"/>
      </rPr>
      <t xml:space="preserve"> =</t>
    </r>
  </si>
  <si>
    <r>
      <t>P</t>
    </r>
    <r>
      <rPr>
        <sz val="8"/>
        <color theme="1"/>
        <rFont val="Calibri"/>
        <family val="2"/>
        <scheme val="minor"/>
      </rPr>
      <t>s,i</t>
    </r>
    <r>
      <rPr>
        <sz val="11"/>
        <color theme="1"/>
        <rFont val="Calibri"/>
        <family val="2"/>
        <scheme val="minor"/>
      </rPr>
      <t xml:space="preserve"> =</t>
    </r>
  </si>
  <si>
    <r>
      <t>Ps,i-</t>
    </r>
    <r>
      <rPr>
        <sz val="11"/>
        <color theme="1"/>
        <rFont val="Calibri"/>
        <family val="2"/>
        <scheme val="minor"/>
      </rPr>
      <t xml:space="preserve">distance from the first interior bolt </t>
    </r>
  </si>
  <si>
    <t xml:space="preserve">centerline to the inner face of the the </t>
  </si>
  <si>
    <t xml:space="preserve">stiffener in four-bolt flush connection </t>
  </si>
  <si>
    <t>with stiffener inside bolt rows</t>
  </si>
  <si>
    <r>
      <t>Ps,o-</t>
    </r>
    <r>
      <rPr>
        <sz val="11"/>
        <color theme="1"/>
        <rFont val="Calibri"/>
        <family val="2"/>
        <scheme val="minor"/>
      </rPr>
      <t>distance from the outer bolt centerline to the outer</t>
    </r>
  </si>
  <si>
    <t xml:space="preserve">face of the stiffener in four-bolt flush connection with </t>
  </si>
  <si>
    <t>stiffener between bolt rows</t>
  </si>
  <si>
    <t>Y=bp/2 [ h1*(1/pf,i + 1/s) + h0(1/pf,o) -0.5  ] + 2/g  * [ h1 (pf,i + s) ]</t>
  </si>
  <si>
    <r>
      <t>de-</t>
    </r>
    <r>
      <rPr>
        <sz val="11"/>
        <color theme="1"/>
        <rFont val="Calibri"/>
        <family val="2"/>
        <scheme val="minor"/>
      </rPr>
      <t xml:space="preserve">End-plate extension beyond the </t>
    </r>
  </si>
  <si>
    <t>exterior bolt centerline =pext-pf,o</t>
  </si>
  <si>
    <t>the beam tension flange</t>
  </si>
  <si>
    <r>
      <rPr>
        <b/>
        <sz val="11"/>
        <color theme="1"/>
        <rFont val="Calibri"/>
        <family val="2"/>
        <scheme val="minor"/>
      </rPr>
      <t>Pext-</t>
    </r>
    <r>
      <rPr>
        <sz val="11"/>
        <color theme="1"/>
        <rFont val="Calibri"/>
        <family val="2"/>
        <scheme val="minor"/>
      </rPr>
      <t xml:space="preserve">End-plate extension beyond the exterior face of </t>
    </r>
  </si>
  <si>
    <t>4-B EXTENDED-STIFFENED S &lt; de</t>
  </si>
  <si>
    <t>Y=bp/2 [h1 ( 1 / pf,I + 1 /s ) + h0 ( 1/s  + 1 /pf,o )] + 2/g [h1 ( pf,I + s ) + h0 (s + pf,o) ]</t>
  </si>
  <si>
    <t>4-B EXTENDED-STIFFENED S &gt;= de</t>
  </si>
  <si>
    <t>Y=bp/2 [h1 ( 1 / pf,I + 1 /s ) + h0 ( 1/2s  + 1 /pf,o )] + 2/g [h1 ( pf,I + s ) + h0 (de + pf,o) ]</t>
  </si>
  <si>
    <t>1/2 extended unstiffened</t>
  </si>
  <si>
    <t>Y= bp/2 [ h1(1/pf,i) + h2(1/s) + h0 ( 1 / pf,0) -0.5  ] + 2/g * [h1(pf,i+0.75Pb)+h2(s+0.25Pb)]+g/2</t>
  </si>
  <si>
    <t>1/3 extended unstiffened</t>
  </si>
  <si>
    <t>Y= bp/2 [ h1(1/pf,i) + h3(1/s) + h0 ( 1 / pf,0) -0.5  ] + 2/g * [h1(pf,i+1.5Pb)+h3(s+0.5Pb)]+g/2</t>
  </si>
  <si>
    <t>1/3 extended stiffened s &lt;de</t>
  </si>
  <si>
    <t>1/3 extended stiffened s &gt;= de</t>
  </si>
  <si>
    <t>Y= bp/2 [ h1(1/pf,i) + h3(1/s) + h0 ( 1 / pf,0)  ] + 2/g * [h1(pf,i+1.5Pb)+h3(s+0.5Pb)+h0(s+Pf,o)]+g/2</t>
  </si>
  <si>
    <t>Y= bp/2 [ h1 ( 1/pf,I ) + h3(1/s) + h0 ( 1 / pf,o + 1 / 2s )  ] + 2/g * [h1(pf,i + 1.5Pb )+ h3 ( s + 0.5Pb)+h0 (de + Pf,o)] + g/2</t>
  </si>
  <si>
    <t>2-B flush unstiffened</t>
  </si>
  <si>
    <t>4-B flush unstiffened</t>
  </si>
  <si>
    <t>4-B flush stiffened between</t>
  </si>
  <si>
    <t>4-B flush stiffened inside</t>
  </si>
  <si>
    <t>4-B EXTENDED unstiffened</t>
  </si>
  <si>
    <t>1)</t>
  </si>
  <si>
    <t>2)</t>
  </si>
  <si>
    <t>3)</t>
  </si>
  <si>
    <t>4)</t>
  </si>
  <si>
    <t>5)</t>
  </si>
  <si>
    <t>6)</t>
  </si>
  <si>
    <r>
      <rPr>
        <b/>
        <sz val="11"/>
        <color theme="1"/>
        <rFont val="Calibri"/>
        <family val="2"/>
        <scheme val="minor"/>
      </rPr>
      <t>tf</t>
    </r>
    <r>
      <rPr>
        <sz val="11"/>
        <color theme="1"/>
        <rFont val="Calibri"/>
        <family val="2"/>
        <scheme val="minor"/>
      </rPr>
      <t>-Beam Flange Thickness</t>
    </r>
  </si>
  <si>
    <t>flush</t>
  </si>
  <si>
    <t>extended</t>
  </si>
  <si>
    <t xml:space="preserve"> ≥  g    ≥</t>
  </si>
  <si>
    <t xml:space="preserve"> ≥  h    ≥</t>
  </si>
  <si>
    <r>
      <rPr>
        <b/>
        <sz val="11"/>
        <color theme="1"/>
        <rFont val="Calibri"/>
        <family val="2"/>
        <scheme val="minor"/>
      </rPr>
      <t>Ft</t>
    </r>
    <r>
      <rPr>
        <sz val="11"/>
        <color theme="1"/>
        <rFont val="Calibri"/>
        <family val="2"/>
        <scheme val="minor"/>
      </rPr>
      <t>-Tensile strength of bolts</t>
    </r>
  </si>
  <si>
    <r>
      <rPr>
        <b/>
        <sz val="11"/>
        <color theme="1"/>
        <rFont val="Calibri"/>
        <family val="2"/>
        <scheme val="minor"/>
      </rPr>
      <t>Ab</t>
    </r>
    <r>
      <rPr>
        <sz val="11"/>
        <color theme="1"/>
        <rFont val="Calibri"/>
        <family val="2"/>
        <scheme val="minor"/>
      </rPr>
      <t>-Nominal Bolt area</t>
    </r>
  </si>
  <si>
    <t>CM2</t>
  </si>
  <si>
    <t>Y =</t>
  </si>
  <si>
    <r>
      <t>P</t>
    </r>
    <r>
      <rPr>
        <sz val="9"/>
        <color theme="1"/>
        <rFont val="Calibri"/>
        <family val="2"/>
        <scheme val="minor"/>
      </rPr>
      <t>ext =</t>
    </r>
  </si>
  <si>
    <r>
      <t>p</t>
    </r>
    <r>
      <rPr>
        <sz val="9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,</t>
    </r>
    <r>
      <rPr>
        <sz val="8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</si>
  <si>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r>
      <t>A</t>
    </r>
    <r>
      <rPr>
        <sz val="9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</si>
  <si>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sz val="9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=</t>
    </r>
  </si>
  <si>
    <r>
      <t>P</t>
    </r>
    <r>
      <rPr>
        <sz val="9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=</t>
    </r>
  </si>
  <si>
    <r>
      <t>d</t>
    </r>
    <r>
      <rPr>
        <sz val="9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 =</t>
    </r>
  </si>
  <si>
    <r>
      <t>t</t>
    </r>
    <r>
      <rPr>
        <sz val="9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=</t>
    </r>
  </si>
  <si>
    <r>
      <t>b</t>
    </r>
    <r>
      <rPr>
        <sz val="9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</si>
  <si>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sz val="9"/>
        <color theme="1"/>
        <rFont val="Calibri"/>
        <family val="2"/>
        <scheme val="minor"/>
      </rPr>
      <t>yp</t>
    </r>
    <r>
      <rPr>
        <sz val="11"/>
        <color theme="1"/>
        <rFont val="Calibri"/>
        <family val="2"/>
        <scheme val="minor"/>
      </rPr>
      <t xml:space="preserve"> =</t>
    </r>
  </si>
  <si>
    <r>
      <t>P</t>
    </r>
    <r>
      <rPr>
        <sz val="9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 =</t>
    </r>
  </si>
  <si>
    <r>
      <t>h</t>
    </r>
    <r>
      <rPr>
        <sz val="9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=</t>
    </r>
  </si>
  <si>
    <r>
      <t>h</t>
    </r>
    <r>
      <rPr>
        <sz val="9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=</t>
    </r>
  </si>
  <si>
    <r>
      <t>h</t>
    </r>
    <r>
      <rPr>
        <sz val="9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=</t>
    </r>
  </si>
  <si>
    <r>
      <t xml:space="preserve"> ≥  P</t>
    </r>
    <r>
      <rPr>
        <sz val="9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  ≥</t>
    </r>
  </si>
  <si>
    <r>
      <t xml:space="preserve"> ≥  P</t>
    </r>
    <r>
      <rPr>
        <sz val="9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  ≥</t>
    </r>
  </si>
  <si>
    <r>
      <t xml:space="preserve"> ≥  b</t>
    </r>
    <r>
      <rPr>
        <sz val="9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 ≥</t>
    </r>
  </si>
  <si>
    <r>
      <t xml:space="preserve"> ≥  t</t>
    </r>
    <r>
      <rPr>
        <sz val="9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   ≥</t>
    </r>
  </si>
  <si>
    <r>
      <t>ɣ</t>
    </r>
    <r>
      <rPr>
        <sz val="9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  =</t>
    </r>
  </si>
  <si>
    <t>DESIGN OF FLUST-EXTENDED END PLATE CONNECTION</t>
  </si>
  <si>
    <t>D)Calculation of Connection Strength</t>
  </si>
  <si>
    <t>t.cm</t>
  </si>
  <si>
    <r>
      <rPr>
        <b/>
        <sz val="11"/>
        <color theme="1"/>
        <rFont val="Calibri"/>
        <family val="2"/>
        <scheme val="minor"/>
      </rPr>
      <t>Pt</t>
    </r>
    <r>
      <rPr>
        <sz val="11"/>
        <color theme="1"/>
        <rFont val="Calibri"/>
        <family val="2"/>
        <scheme val="minor"/>
      </rPr>
      <t xml:space="preserve">-Bolt material Ultimate tensile load </t>
    </r>
  </si>
  <si>
    <t>capacity ,proof load = Ab x Ft</t>
  </si>
  <si>
    <r>
      <t>M</t>
    </r>
    <r>
      <rPr>
        <b/>
        <sz val="8"/>
        <color theme="1"/>
        <rFont val="Calibri"/>
        <family val="2"/>
        <scheme val="minor"/>
      </rPr>
      <t>np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Connection strength for the limit state of</t>
    </r>
  </si>
  <si>
    <t>bolt fracture with no prying action</t>
  </si>
  <si>
    <r>
      <t>Fpy * t</t>
    </r>
    <r>
      <rPr>
        <sz val="8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2 * Y       =</t>
    </r>
  </si>
  <si>
    <r>
      <t>d</t>
    </r>
    <r>
      <rPr>
        <sz val="8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= </t>
    </r>
  </si>
  <si>
    <r>
      <t>d</t>
    </r>
    <r>
      <rPr>
        <sz val="8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= </t>
    </r>
  </si>
  <si>
    <r>
      <t>d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=</t>
    </r>
  </si>
  <si>
    <r>
      <t>P</t>
    </r>
    <r>
      <rPr>
        <sz val="8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=</t>
    </r>
  </si>
  <si>
    <t>ton</t>
  </si>
  <si>
    <t>Connection Behaviour</t>
  </si>
  <si>
    <t>w' =</t>
  </si>
  <si>
    <t>CM</t>
  </si>
  <si>
    <r>
      <rPr>
        <b/>
        <sz val="11"/>
        <color theme="1"/>
        <rFont val="Calibri"/>
        <family val="2"/>
        <scheme val="minor"/>
      </rPr>
      <t>W'</t>
    </r>
    <r>
      <rPr>
        <sz val="11"/>
        <color theme="1"/>
        <rFont val="Calibri"/>
        <family val="2"/>
        <scheme val="minor"/>
      </rPr>
      <t>-bp/2-(db+1/16)</t>
    </r>
  </si>
  <si>
    <r>
      <rPr>
        <b/>
        <sz val="11"/>
        <color theme="1"/>
        <rFont val="Calibri"/>
        <family val="2"/>
        <scheme val="minor"/>
      </rPr>
      <t>a</t>
    </r>
    <r>
      <rPr>
        <b/>
        <sz val="8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Distance from the interior bolt centerline to the</t>
    </r>
  </si>
  <si>
    <r>
      <t>prying force = 3.682 (t</t>
    </r>
    <r>
      <rPr>
        <sz val="8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/ d</t>
    </r>
    <r>
      <rPr>
        <sz val="8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)^3 - 0.085</t>
    </r>
  </si>
  <si>
    <r>
      <rPr>
        <b/>
        <sz val="11"/>
        <color theme="1"/>
        <rFont val="Calibri"/>
        <family val="2"/>
        <scheme val="minor"/>
      </rPr>
      <t>F</t>
    </r>
    <r>
      <rPr>
        <b/>
        <sz val="8"/>
        <color theme="1"/>
        <rFont val="Calibri"/>
        <family val="2"/>
        <scheme val="minor"/>
      </rPr>
      <t>i'-</t>
    </r>
    <r>
      <rPr>
        <sz val="11"/>
        <color theme="1"/>
        <rFont val="Calibri"/>
        <family val="2"/>
        <scheme val="minor"/>
      </rPr>
      <t>Flange force per bolt at the thin plate</t>
    </r>
  </si>
  <si>
    <r>
      <t>limit when calculating Q</t>
    </r>
    <r>
      <rPr>
        <sz val="8"/>
        <color theme="1"/>
        <rFont val="Calibri"/>
        <family val="2"/>
        <scheme val="minor"/>
      </rPr>
      <t xml:space="preserve">max,I </t>
    </r>
    <r>
      <rPr>
        <sz val="11"/>
        <color theme="1"/>
        <rFont val="Calibri"/>
        <family val="2"/>
        <scheme val="minor"/>
      </rPr>
      <t xml:space="preserve">for end </t>
    </r>
  </si>
  <si>
    <t>plate configurations</t>
  </si>
  <si>
    <t xml:space="preserve"> = [tp2*Fpy*(0.85bp/2+0.8w') + πdb3 Ft/8]/(4Pf,i)</t>
  </si>
  <si>
    <r>
      <rPr>
        <b/>
        <sz val="11"/>
        <color theme="1"/>
        <rFont val="Calibri"/>
        <family val="2"/>
        <scheme val="minor"/>
      </rPr>
      <t>d</t>
    </r>
    <r>
      <rPr>
        <b/>
        <sz val="8"/>
        <color theme="1"/>
        <rFont val="Calibri"/>
        <family val="2"/>
        <scheme val="minor"/>
      </rPr>
      <t>(0,1,2)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Distance from the Compression flange centerline to the</t>
    </r>
  </si>
  <si>
    <t xml:space="preserve"> centerline of "n" bolt</t>
  </si>
  <si>
    <r>
      <t>F</t>
    </r>
    <r>
      <rPr>
        <sz val="9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' =</t>
    </r>
  </si>
  <si>
    <r>
      <t>d</t>
    </r>
    <r>
      <rPr>
        <sz val="9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</si>
  <si>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a</t>
    </r>
    <r>
      <rPr>
        <sz val="9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</si>
  <si>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r>
      <t>Q</t>
    </r>
    <r>
      <rPr>
        <sz val="9"/>
        <color theme="1"/>
        <rFont val="Calibri"/>
        <family val="2"/>
        <scheme val="minor"/>
      </rPr>
      <t>max,i =</t>
    </r>
  </si>
  <si>
    <r>
      <t>Q</t>
    </r>
    <r>
      <rPr>
        <sz val="9"/>
        <color theme="1"/>
        <rFont val="Calibri"/>
        <family val="2"/>
        <scheme val="minor"/>
      </rPr>
      <t>max,o =</t>
    </r>
  </si>
  <si>
    <r>
      <rPr>
        <b/>
        <sz val="11"/>
        <color theme="1"/>
        <rFont val="Calibri"/>
        <family val="2"/>
        <scheme val="minor"/>
      </rPr>
      <t>Q</t>
    </r>
    <r>
      <rPr>
        <b/>
        <sz val="9"/>
        <color theme="1"/>
        <rFont val="Calibri"/>
        <family val="2"/>
        <scheme val="minor"/>
      </rPr>
      <t>max,o-</t>
    </r>
    <r>
      <rPr>
        <sz val="11"/>
        <color theme="1"/>
        <rFont val="Calibri"/>
        <family val="2"/>
        <scheme val="minor"/>
      </rPr>
      <t>Maximum Possible Prying force for</t>
    </r>
  </si>
  <si>
    <t>for interior bolts</t>
  </si>
  <si>
    <r>
      <rPr>
        <b/>
        <sz val="11"/>
        <color theme="1"/>
        <rFont val="Calibri"/>
        <family val="2"/>
        <scheme val="minor"/>
      </rPr>
      <t>Q</t>
    </r>
    <r>
      <rPr>
        <b/>
        <sz val="9"/>
        <color theme="1"/>
        <rFont val="Calibri"/>
        <family val="2"/>
        <scheme val="minor"/>
      </rPr>
      <t>max,i-</t>
    </r>
    <r>
      <rPr>
        <sz val="11"/>
        <color theme="1"/>
        <rFont val="Calibri"/>
        <family val="2"/>
        <scheme val="minor"/>
      </rPr>
      <t xml:space="preserve">Maximum Possible Prying force </t>
    </r>
  </si>
  <si>
    <t>exterior bolts</t>
  </si>
  <si>
    <r>
      <rPr>
        <b/>
        <sz val="11"/>
        <color theme="1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Distance from the exterior bolt centerline to the</t>
    </r>
  </si>
  <si>
    <r>
      <t>prying force = Min of (3.682 (t</t>
    </r>
    <r>
      <rPr>
        <sz val="8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/ d</t>
    </r>
    <r>
      <rPr>
        <sz val="8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)^3 - 0.085 , P</t>
    </r>
    <r>
      <rPr>
        <sz val="9"/>
        <color theme="1"/>
        <rFont val="Calibri"/>
        <family val="2"/>
        <scheme val="minor"/>
      </rPr>
      <t>ext</t>
    </r>
    <r>
      <rPr>
        <sz val="11"/>
        <color theme="1"/>
        <rFont val="Calibri"/>
        <family val="2"/>
        <scheme val="minor"/>
      </rPr>
      <t>-P</t>
    </r>
    <r>
      <rPr>
        <sz val="9"/>
        <color theme="1"/>
        <rFont val="Calibri"/>
        <family val="2"/>
        <scheme val="minor"/>
      </rPr>
      <t>f,o )</t>
    </r>
  </si>
  <si>
    <t>ao</t>
  </si>
  <si>
    <r>
      <t>d</t>
    </r>
    <r>
      <rPr>
        <sz val="8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=</t>
    </r>
  </si>
  <si>
    <r>
      <t>i)Limit state of End-Plate Yielding(M</t>
    </r>
    <r>
      <rPr>
        <b/>
        <u/>
        <sz val="8"/>
        <color theme="1"/>
        <rFont val="Calibri"/>
        <family val="2"/>
        <scheme val="minor"/>
      </rPr>
      <t>pl</t>
    </r>
    <r>
      <rPr>
        <b/>
        <u/>
        <sz val="11"/>
        <color theme="1"/>
        <rFont val="Calibri"/>
        <family val="2"/>
        <scheme val="minor"/>
      </rPr>
      <t>)</t>
    </r>
  </si>
  <si>
    <r>
      <t>M</t>
    </r>
    <r>
      <rPr>
        <sz val="8"/>
        <color theme="1"/>
        <rFont val="Calibri"/>
        <family val="2"/>
        <scheme val="minor"/>
      </rPr>
      <t>np</t>
    </r>
    <r>
      <rPr>
        <sz val="10"/>
        <color theme="1"/>
        <rFont val="Calibri"/>
        <family val="2"/>
        <scheme val="minor"/>
      </rPr>
      <t>/ M</t>
    </r>
    <r>
      <rPr>
        <sz val="8"/>
        <color theme="1"/>
        <rFont val="Calibri"/>
        <family val="2"/>
        <scheme val="minor"/>
      </rPr>
      <t>pl</t>
    </r>
    <r>
      <rPr>
        <sz val="10"/>
        <color theme="1"/>
        <rFont val="Calibri"/>
        <family val="2"/>
        <scheme val="minor"/>
      </rPr>
      <t xml:space="preserve"> =</t>
    </r>
  </si>
  <si>
    <t>ɸ            =</t>
  </si>
  <si>
    <r>
      <t>ɸ</t>
    </r>
    <r>
      <rPr>
        <sz val="8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           =</t>
    </r>
  </si>
  <si>
    <r>
      <t>ɸ</t>
    </r>
    <r>
      <rPr>
        <sz val="9"/>
        <color theme="1"/>
        <rFont val="Calibri"/>
        <family val="2"/>
      </rPr>
      <t>b</t>
    </r>
    <r>
      <rPr>
        <sz val="12.65"/>
        <color theme="1"/>
        <rFont val="Calibri"/>
        <family val="2"/>
      </rPr>
      <t>M</t>
    </r>
    <r>
      <rPr>
        <sz val="9"/>
        <color theme="1"/>
        <rFont val="Calibri"/>
        <family val="2"/>
      </rPr>
      <t>pl</t>
    </r>
    <r>
      <rPr>
        <sz val="11"/>
        <color theme="1"/>
        <rFont val="Calibri"/>
        <family val="2"/>
      </rPr>
      <t>/ɣ</t>
    </r>
    <r>
      <rPr>
        <sz val="9"/>
        <color theme="1"/>
        <rFont val="Calibri"/>
        <family val="2"/>
      </rPr>
      <t xml:space="preserve">r             </t>
    </r>
    <r>
      <rPr>
        <sz val="11"/>
        <color theme="1"/>
        <rFont val="Calibri"/>
        <family val="2"/>
      </rPr>
      <t>=</t>
    </r>
  </si>
  <si>
    <r>
      <t>M</t>
    </r>
    <r>
      <rPr>
        <b/>
        <sz val="8"/>
        <color theme="1"/>
        <rFont val="Calibri"/>
        <family val="2"/>
        <scheme val="minor"/>
      </rPr>
      <t>pl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Connection strength for limit state of end plate yielding</t>
    </r>
  </si>
  <si>
    <r>
      <t>Mq-</t>
    </r>
    <r>
      <rPr>
        <sz val="11"/>
        <color theme="1"/>
        <rFont val="Calibri"/>
        <family val="2"/>
        <scheme val="minor"/>
      </rPr>
      <t xml:space="preserve">Connection strength for the limit </t>
    </r>
  </si>
  <si>
    <t>state of bolt fracture with prying action.</t>
  </si>
  <si>
    <t>a)Case of Extended End Plate Connection</t>
  </si>
  <si>
    <t>Mq =</t>
  </si>
  <si>
    <t>Max</t>
  </si>
  <si>
    <r>
      <t xml:space="preserve">  [2*(P</t>
    </r>
    <r>
      <rPr>
        <sz val="9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-Q</t>
    </r>
    <r>
      <rPr>
        <sz val="9"/>
        <color theme="1"/>
        <rFont val="Calibri"/>
        <family val="2"/>
        <scheme val="minor"/>
      </rPr>
      <t>max,o</t>
    </r>
    <r>
      <rPr>
        <sz val="11"/>
        <color theme="1"/>
        <rFont val="Calibri"/>
        <family val="2"/>
        <scheme val="minor"/>
      </rPr>
      <t>)d</t>
    </r>
    <r>
      <rPr>
        <sz val="9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+ 2(P</t>
    </r>
    <r>
      <rPr>
        <sz val="9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-Q</t>
    </r>
    <r>
      <rPr>
        <sz val="9"/>
        <color theme="1"/>
        <rFont val="Calibri"/>
        <family val="2"/>
        <scheme val="minor"/>
      </rPr>
      <t>max,i</t>
    </r>
    <r>
      <rPr>
        <sz val="11"/>
        <color theme="1"/>
        <rFont val="Calibri"/>
        <family val="2"/>
        <scheme val="minor"/>
      </rPr>
      <t>) (d</t>
    </r>
    <r>
      <rPr>
        <sz val="9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+ d</t>
    </r>
    <r>
      <rPr>
        <sz val="9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 + 2T</t>
    </r>
    <r>
      <rPr>
        <sz val="9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*d</t>
    </r>
    <r>
      <rPr>
        <sz val="9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]</t>
    </r>
  </si>
  <si>
    <r>
      <t xml:space="preserve">  [2*(P</t>
    </r>
    <r>
      <rPr>
        <sz val="9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-Q</t>
    </r>
    <r>
      <rPr>
        <sz val="9"/>
        <color theme="1"/>
        <rFont val="Calibri"/>
        <family val="2"/>
        <scheme val="minor"/>
      </rPr>
      <t>max,o</t>
    </r>
    <r>
      <rPr>
        <sz val="11"/>
        <color theme="1"/>
        <rFont val="Calibri"/>
        <family val="2"/>
        <scheme val="minor"/>
      </rPr>
      <t>)d</t>
    </r>
    <r>
      <rPr>
        <sz val="9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+ 2T</t>
    </r>
    <r>
      <rPr>
        <sz val="9"/>
        <color theme="1"/>
        <rFont val="Calibri"/>
        <family val="2"/>
        <scheme val="minor"/>
      </rPr>
      <t xml:space="preserve">b </t>
    </r>
    <r>
      <rPr>
        <sz val="11"/>
        <color theme="1"/>
        <rFont val="Calibri"/>
        <family val="2"/>
        <scheme val="minor"/>
      </rPr>
      <t>(d</t>
    </r>
    <r>
      <rPr>
        <sz val="9"/>
        <color theme="1"/>
        <rFont val="Calibri"/>
        <family val="2"/>
        <scheme val="minor"/>
      </rPr>
      <t>1+</t>
    </r>
    <r>
      <rPr>
        <sz val="11"/>
        <color theme="1"/>
        <rFont val="Calibri"/>
        <family val="2"/>
        <scheme val="minor"/>
      </rPr>
      <t>d</t>
    </r>
    <r>
      <rPr>
        <sz val="9"/>
        <color theme="1"/>
        <rFont val="Calibri"/>
        <family val="2"/>
        <scheme val="minor"/>
      </rPr>
      <t>2+</t>
    </r>
    <r>
      <rPr>
        <sz val="11"/>
        <color theme="1"/>
        <rFont val="Calibri"/>
        <family val="2"/>
        <scheme val="minor"/>
      </rPr>
      <t>d</t>
    </r>
    <r>
      <rPr>
        <sz val="9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 ]</t>
    </r>
  </si>
  <si>
    <r>
      <t xml:space="preserve">  [2*(P</t>
    </r>
    <r>
      <rPr>
        <sz val="9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-Q</t>
    </r>
    <r>
      <rPr>
        <sz val="9"/>
        <color theme="1"/>
        <rFont val="Calibri"/>
        <family val="2"/>
        <scheme val="minor"/>
      </rPr>
      <t>max,o</t>
    </r>
    <r>
      <rPr>
        <sz val="11"/>
        <color theme="1"/>
        <rFont val="Calibri"/>
        <family val="2"/>
        <scheme val="minor"/>
      </rPr>
      <t>)*(d</t>
    </r>
    <r>
      <rPr>
        <sz val="9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+d</t>
    </r>
    <r>
      <rPr>
        <sz val="9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 + 2T</t>
    </r>
    <r>
      <rPr>
        <sz val="9"/>
        <color theme="1"/>
        <rFont val="Calibri"/>
        <family val="2"/>
        <scheme val="minor"/>
      </rPr>
      <t xml:space="preserve">b </t>
    </r>
    <r>
      <rPr>
        <sz val="11"/>
        <color theme="1"/>
        <rFont val="Calibri"/>
        <family val="2"/>
        <scheme val="minor"/>
      </rPr>
      <t>(d</t>
    </r>
    <r>
      <rPr>
        <sz val="9"/>
        <color theme="1"/>
        <rFont val="Calibri"/>
        <family val="2"/>
        <scheme val="minor"/>
      </rPr>
      <t>0+</t>
    </r>
    <r>
      <rPr>
        <sz val="11"/>
        <color theme="1"/>
        <rFont val="Calibri"/>
        <family val="2"/>
        <scheme val="minor"/>
      </rPr>
      <t>d</t>
    </r>
    <r>
      <rPr>
        <sz val="9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 ]</t>
    </r>
  </si>
  <si>
    <r>
      <t xml:space="preserve">  [2T</t>
    </r>
    <r>
      <rPr>
        <sz val="9"/>
        <color theme="1"/>
        <rFont val="Calibri"/>
        <family val="2"/>
        <scheme val="minor"/>
      </rPr>
      <t xml:space="preserve">b </t>
    </r>
    <r>
      <rPr>
        <sz val="11"/>
        <color theme="1"/>
        <rFont val="Calibri"/>
        <family val="2"/>
        <scheme val="minor"/>
      </rPr>
      <t>(d</t>
    </r>
    <r>
      <rPr>
        <sz val="9"/>
        <color theme="1"/>
        <rFont val="Calibri"/>
        <family val="2"/>
        <scheme val="minor"/>
      </rPr>
      <t>0+</t>
    </r>
    <r>
      <rPr>
        <sz val="11"/>
        <color theme="1"/>
        <rFont val="Calibri"/>
        <family val="2"/>
        <scheme val="minor"/>
      </rPr>
      <t>d</t>
    </r>
    <r>
      <rPr>
        <sz val="9"/>
        <color theme="1"/>
        <rFont val="Calibri"/>
        <family val="2"/>
        <scheme val="minor"/>
      </rPr>
      <t>1+</t>
    </r>
    <r>
      <rPr>
        <sz val="11"/>
        <color theme="1"/>
        <rFont val="Calibri"/>
        <family val="2"/>
        <scheme val="minor"/>
      </rPr>
      <t>d</t>
    </r>
    <r>
      <rPr>
        <sz val="9"/>
        <color theme="1"/>
        <rFont val="Calibri"/>
        <family val="2"/>
        <scheme val="minor"/>
      </rPr>
      <t>2+</t>
    </r>
    <r>
      <rPr>
        <sz val="11"/>
        <color theme="1"/>
        <rFont val="Calibri"/>
        <family val="2"/>
        <scheme val="minor"/>
      </rPr>
      <t>d</t>
    </r>
    <r>
      <rPr>
        <sz val="9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 ]</t>
    </r>
  </si>
  <si>
    <t>b)Case of Flush End Plate Connection</t>
  </si>
  <si>
    <t>[ 2Tb(d1+d2) ]</t>
  </si>
  <si>
    <t>[ 2(pt-Qmax)(d1+d2) ]</t>
  </si>
  <si>
    <t xml:space="preserve">Table J3.1,AISC(2000) or if if snugg tight,recommended </t>
  </si>
  <si>
    <t>percentage of Table J3.1 based on bolt diameter</t>
  </si>
  <si>
    <r>
      <rPr>
        <b/>
        <sz val="11"/>
        <color theme="1"/>
        <rFont val="Calibri"/>
        <family val="2"/>
        <scheme val="minor"/>
      </rPr>
      <t>T</t>
    </r>
    <r>
      <rPr>
        <b/>
        <sz val="9"/>
        <color theme="1"/>
        <rFont val="Calibri"/>
        <family val="2"/>
        <scheme val="minor"/>
      </rPr>
      <t>b</t>
    </r>
    <r>
      <rPr>
        <b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Specified pretension load in high strength bolts</t>
    </r>
  </si>
  <si>
    <t>tf =</t>
  </si>
  <si>
    <t>Full Tightening</t>
  </si>
  <si>
    <t>Snug Tightening</t>
  </si>
  <si>
    <t>Type OF Tightening</t>
  </si>
  <si>
    <t>Tb =</t>
  </si>
  <si>
    <t>ɸMq       =</t>
  </si>
  <si>
    <t>-All loads and internal forces comply with LRFD method (internal forces in ASD Could be muliplied by 1.5).</t>
  </si>
  <si>
    <t>-This spreadsheet is designed to check the connection strength for the following limit states :</t>
  </si>
  <si>
    <t>-Connection Strength Based on End plate Yielding.</t>
  </si>
  <si>
    <t>-Connection Strength Based on bolt rupture without prying action.</t>
  </si>
  <si>
    <t>-Connection Strength Based on bolt fracture w/prying action.</t>
  </si>
  <si>
    <r>
      <t>M</t>
    </r>
    <r>
      <rPr>
        <sz val="9"/>
        <color theme="1"/>
        <rFont val="Calibri"/>
        <family val="2"/>
        <scheme val="minor"/>
      </rPr>
      <t xml:space="preserve">pl         </t>
    </r>
    <r>
      <rPr>
        <sz val="11"/>
        <color theme="1"/>
        <rFont val="Calibri"/>
        <family val="2"/>
        <scheme val="minor"/>
      </rPr>
      <t>=</t>
    </r>
  </si>
  <si>
    <r>
      <t>F</t>
    </r>
    <r>
      <rPr>
        <sz val="9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' =</t>
    </r>
  </si>
  <si>
    <t>-Effect of axial forces will be neglected incase the axial force is compression.</t>
  </si>
  <si>
    <t>Mu =</t>
  </si>
  <si>
    <t>ton.cm</t>
  </si>
  <si>
    <t>Tu =</t>
  </si>
  <si>
    <r>
      <t>a</t>
    </r>
    <r>
      <rPr>
        <sz val="9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=</t>
    </r>
  </si>
  <si>
    <r>
      <t>M</t>
    </r>
    <r>
      <rPr>
        <sz val="9"/>
        <color theme="1"/>
        <rFont val="Calibri"/>
        <family val="2"/>
        <scheme val="minor"/>
      </rPr>
      <t xml:space="preserve">np       </t>
    </r>
    <r>
      <rPr>
        <sz val="11"/>
        <color theme="1"/>
        <rFont val="Calibri"/>
        <family val="2"/>
        <scheme val="minor"/>
      </rPr>
      <t>=</t>
    </r>
  </si>
  <si>
    <r>
      <t>ɸ</t>
    </r>
    <r>
      <rPr>
        <sz val="12.65"/>
        <color theme="1"/>
        <rFont val="Calibri"/>
        <family val="2"/>
      </rPr>
      <t>M</t>
    </r>
    <r>
      <rPr>
        <sz val="9"/>
        <color theme="1"/>
        <rFont val="Calibri"/>
        <family val="2"/>
      </rPr>
      <t xml:space="preserve">np      </t>
    </r>
    <r>
      <rPr>
        <sz val="11"/>
        <color theme="1"/>
        <rFont val="Calibri"/>
        <family val="2"/>
      </rPr>
      <t>=</t>
    </r>
  </si>
  <si>
    <r>
      <t xml:space="preserve"> [ 2 Pt (</t>
    </r>
    <r>
      <rPr>
        <sz val="11"/>
        <color theme="1"/>
        <rFont val="Calibri"/>
        <family val="2"/>
      </rPr>
      <t>Σ</t>
    </r>
    <r>
      <rPr>
        <sz val="12.65"/>
        <color theme="1"/>
        <rFont val="Calibri"/>
        <family val="2"/>
      </rPr>
      <t xml:space="preserve">dn) ]           =   </t>
    </r>
  </si>
  <si>
    <t>-The purpose is to design connections Type(FR) or Type"1" which is fully restrained moment connections</t>
  </si>
  <si>
    <t>-Flush End plate connections are typically used for light loads or near moment inflection point.</t>
  </si>
  <si>
    <t>-This procedure is based on Yield line technique to determine end plate thickness and to predict the tension forces</t>
  </si>
  <si>
    <t>Considering the prying actions.</t>
  </si>
  <si>
    <t>-Bolts in tension may be tightened to 70% of the bolt tensile strength or could be snug tightened (for Bolts A325 Only)</t>
  </si>
  <si>
    <t>-Yield line are the continous formation of the plastic hinges along a straight or curved lines.</t>
  </si>
  <si>
    <t xml:space="preserve">-Intermediate plate behaviour is a transition from Thick to Thin behaviour and considered as a thin behaviour </t>
  </si>
  <si>
    <t>during the analysis.</t>
  </si>
  <si>
    <t>-Thick plate behaviour is taken place when plastic hinges is not formed in the split-tee flange and the prying force</t>
  </si>
  <si>
    <t xml:space="preserve"> value is equal to "zero".</t>
  </si>
  <si>
    <t>-Thin plate behaviour is taken place when plastic hinges is formed in the split-tee flange and the prying force</t>
  </si>
  <si>
    <t>value is not equal to "zero".</t>
  </si>
  <si>
    <t>-Type(1) or "FR" connections are traditionally required to carry and end moment greater than or equal to 90%</t>
  </si>
  <si>
    <t>of the full fixity end moment of the beam and not rotate more than 10% of the simple span rotation.</t>
  </si>
  <si>
    <t xml:space="preserve">-The primary assumption in this approach is that the end plate must substantially yield to produce prying forces </t>
  </si>
  <si>
    <t>in the bolts.Conversely,if the plate is strong enough,no prying action occurs and the bolts are loaded in direct tension</t>
  </si>
  <si>
    <t>This simplified assumption allows the designer to directly optimize either the bolt diameter or end-plate thickness</t>
  </si>
  <si>
    <t>as desired.</t>
  </si>
  <si>
    <t>DESIGN NOTES AND ASSUMPTIONS :</t>
  </si>
  <si>
    <t xml:space="preserve">If the applied load is less than this value, the end plate behaves as a thick plate and prying action can be neglected </t>
  </si>
  <si>
    <t>in the bolts.Once the applied moment crosses the threshold of 0.9Mpl,the plate can be approximated as a thin plate</t>
  </si>
  <si>
    <t>and maximum prying is incorporated in the bolt analysis.</t>
  </si>
  <si>
    <t>-The threshold when prying action begins to take place in the bolts at 90% of the full strength of the plate or 0.9Mpl</t>
  </si>
  <si>
    <t>-This procedure is deigned for bearing type connections only.</t>
  </si>
  <si>
    <t>-All Shear Forces assumed to be resisted by compression bolts</t>
  </si>
  <si>
    <t>-The width of end plate ,Which is effective in resisting the applied beam moment shall not be taken greater than</t>
  </si>
  <si>
    <t>than the beam flange width plus 1 inch in the calculations.</t>
  </si>
  <si>
    <t xml:space="preserve">-The beam flange to end plate weld can be designed for the required moment strength but not less than 60% of the </t>
  </si>
  <si>
    <t>specified minimum yield strength of the connected beam flange.</t>
  </si>
  <si>
    <t>-When the full design strength is not required, the beam web to end plate welds should be designed to develop</t>
  </si>
  <si>
    <t>60% of the minimum specified yield strength of the beam web.</t>
  </si>
  <si>
    <t xml:space="preserve">-Stitch bolts are sometimes used between the tension and compression flange end plate bolts especially in deep </t>
  </si>
  <si>
    <t xml:space="preserve">connections. The purpose of these bolts is to reduce plate separation caused by welding distortions.Because stitch </t>
  </si>
  <si>
    <t>bolts are located near center of gravity of the member,Contribution to connection strength is small and  is neglected</t>
  </si>
  <si>
    <t xml:space="preserve">-The factored axial load will be converted into an equivalent moment that will be added to the factored </t>
  </si>
  <si>
    <t>connection moment for axial tension.</t>
  </si>
  <si>
    <r>
      <t>ii) Limit state of Bolt Rupture(M</t>
    </r>
    <r>
      <rPr>
        <b/>
        <u/>
        <sz val="8"/>
        <color theme="1"/>
        <rFont val="Calibri"/>
        <family val="2"/>
        <scheme val="minor"/>
      </rPr>
      <t>np</t>
    </r>
    <r>
      <rPr>
        <b/>
        <u/>
        <sz val="11"/>
        <color theme="1"/>
        <rFont val="Calibri"/>
        <family val="2"/>
        <scheme val="minor"/>
      </rPr>
      <t>) without prying action.</t>
    </r>
  </si>
  <si>
    <r>
      <t>iii) Limit state of Bolt Rupture(M</t>
    </r>
    <r>
      <rPr>
        <b/>
        <u/>
        <sz val="8"/>
        <color theme="1"/>
        <rFont val="Calibri"/>
        <family val="2"/>
        <scheme val="minor"/>
      </rPr>
      <t>q</t>
    </r>
    <r>
      <rPr>
        <b/>
        <u/>
        <sz val="11"/>
        <color theme="1"/>
        <rFont val="Calibri"/>
        <family val="2"/>
        <scheme val="minor"/>
      </rPr>
      <t>) w/prying action</t>
    </r>
  </si>
  <si>
    <t>Lc =</t>
  </si>
  <si>
    <r>
      <t>L</t>
    </r>
    <r>
      <rPr>
        <b/>
        <sz val="9"/>
        <color theme="1"/>
        <rFont val="Calibri"/>
        <family val="2"/>
        <scheme val="minor"/>
      </rPr>
      <t>c-</t>
    </r>
    <r>
      <rPr>
        <sz val="11"/>
        <color theme="1"/>
        <rFont val="Calibri"/>
        <family val="2"/>
        <scheme val="minor"/>
      </rPr>
      <t>Clear distance in direction of force between</t>
    </r>
  </si>
  <si>
    <t xml:space="preserve">the edge of the hole and the edge of the </t>
  </si>
  <si>
    <t>adjacent hole.</t>
  </si>
  <si>
    <t>No.Of bolt rows in Compn =</t>
  </si>
  <si>
    <t>No.Of bolt cols in Compn =</t>
  </si>
  <si>
    <t>Lp =</t>
  </si>
  <si>
    <t>Fnv =</t>
  </si>
  <si>
    <t>ɸRn     =</t>
  </si>
  <si>
    <t>ɸ * Fnv * Ab</t>
  </si>
  <si>
    <t>=</t>
  </si>
  <si>
    <t>iv) Limit state based on shear strength of bolts</t>
  </si>
  <si>
    <t>iiv) Limit state based on Bearing strength at bolt holes</t>
  </si>
  <si>
    <t>ɸRn       =</t>
  </si>
  <si>
    <t>ɸ*1.2*Lc*t*Fu*n          =</t>
  </si>
  <si>
    <r>
      <t xml:space="preserve">ɸ*1.2*Lc*t*Fup*n      </t>
    </r>
    <r>
      <rPr>
        <sz val="11"/>
        <color theme="1"/>
        <rFont val="Calibri"/>
        <family val="2"/>
      </rPr>
      <t>≤       ɸ*2.4*d*t*Fup*n</t>
    </r>
  </si>
  <si>
    <r>
      <t>Fu</t>
    </r>
    <r>
      <rPr>
        <sz val="9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=</t>
    </r>
  </si>
  <si>
    <t>ɸ*2.4*d*t*Fup*n         =</t>
  </si>
  <si>
    <t>ɸRn          =</t>
  </si>
  <si>
    <t>bf =</t>
  </si>
  <si>
    <t>Tension flange weld</t>
  </si>
  <si>
    <t>Fillet Weld</t>
  </si>
  <si>
    <t>Full Penetration</t>
  </si>
  <si>
    <t>iv) Limit state based on welding to end plate</t>
  </si>
  <si>
    <t>tw =</t>
  </si>
  <si>
    <r>
      <t>F</t>
    </r>
    <r>
      <rPr>
        <sz val="9"/>
        <color theme="1"/>
        <rFont val="Calibri"/>
        <family val="2"/>
        <scheme val="minor"/>
      </rPr>
      <t>Exx =</t>
    </r>
  </si>
  <si>
    <r>
      <t>bf</t>
    </r>
    <r>
      <rPr>
        <b/>
        <sz val="9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Width of the flange beam</t>
    </r>
  </si>
  <si>
    <r>
      <t>tw</t>
    </r>
    <r>
      <rPr>
        <b/>
        <sz val="9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Thickness OF the beam web</t>
    </r>
  </si>
  <si>
    <t xml:space="preserve">Iwxx = </t>
  </si>
  <si>
    <t>cm4</t>
  </si>
  <si>
    <r>
      <t>S</t>
    </r>
    <r>
      <rPr>
        <sz val="9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=</t>
    </r>
  </si>
  <si>
    <r>
      <t>S</t>
    </r>
    <r>
      <rPr>
        <sz val="9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 xml:space="preserve"> =</t>
    </r>
  </si>
  <si>
    <t>hw</t>
  </si>
  <si>
    <t>dw</t>
  </si>
  <si>
    <t>bw</t>
  </si>
  <si>
    <t xml:space="preserve">ɸ * 0.6 * FExx </t>
  </si>
  <si>
    <t>ɸFw       =</t>
  </si>
  <si>
    <r>
      <t>ɸFw * I</t>
    </r>
    <r>
      <rPr>
        <sz val="9"/>
        <color theme="1"/>
        <rFont val="Calibri"/>
        <family val="2"/>
        <scheme val="minor"/>
      </rPr>
      <t xml:space="preserve">wxx / </t>
    </r>
    <r>
      <rPr>
        <sz val="11"/>
        <color theme="1"/>
        <rFont val="Calibri"/>
        <family val="2"/>
        <scheme val="minor"/>
      </rPr>
      <t>y</t>
    </r>
    <r>
      <rPr>
        <sz val="9"/>
        <color theme="1"/>
        <rFont val="Calibri"/>
        <family val="2"/>
        <scheme val="minor"/>
      </rPr>
      <t>w</t>
    </r>
  </si>
  <si>
    <r>
      <t>ɸM</t>
    </r>
    <r>
      <rPr>
        <sz val="9"/>
        <color theme="1"/>
        <rFont val="Calibri"/>
        <family val="2"/>
        <scheme val="minor"/>
      </rPr>
      <t xml:space="preserve">nw   </t>
    </r>
    <r>
      <rPr>
        <sz val="11"/>
        <color theme="1"/>
        <rFont val="Calibri"/>
        <family val="2"/>
        <scheme val="minor"/>
      </rPr>
      <t>=</t>
    </r>
  </si>
  <si>
    <t>Connection Strength</t>
  </si>
  <si>
    <t>Mu(t.cm)</t>
  </si>
  <si>
    <t>Qu(ton)</t>
  </si>
  <si>
    <r>
      <t>P</t>
    </r>
    <r>
      <rPr>
        <sz val="9"/>
        <rFont val="Calibri"/>
        <family val="2"/>
        <scheme val="minor"/>
      </rPr>
      <t>f,o</t>
    </r>
    <r>
      <rPr>
        <sz val="8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=</t>
    </r>
  </si>
  <si>
    <r>
      <t>Pf or P</t>
    </r>
    <r>
      <rPr>
        <sz val="9"/>
        <color theme="1"/>
        <rFont val="Calibri"/>
        <family val="2"/>
        <scheme val="minor"/>
      </rPr>
      <t>f,i</t>
    </r>
    <r>
      <rPr>
        <sz val="11"/>
        <color theme="1"/>
        <rFont val="Calibri"/>
        <family val="2"/>
        <scheme val="minor"/>
      </rPr>
      <t xml:space="preserve"> =</t>
    </r>
  </si>
  <si>
    <t>SHEAR STRENGTH</t>
  </si>
  <si>
    <t>(AISC 360-05 J3-1)</t>
  </si>
  <si>
    <t>(AISC 360-05 J3-6a)</t>
  </si>
  <si>
    <r>
      <t>Lp</t>
    </r>
    <r>
      <rPr>
        <b/>
        <sz val="9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Spacing between bolt rows centerlines in compn zone</t>
    </r>
  </si>
  <si>
    <r>
      <rPr>
        <b/>
        <sz val="11"/>
        <color theme="1"/>
        <rFont val="Calibri"/>
        <family val="2"/>
        <scheme val="minor"/>
      </rPr>
      <t>Iwxx</t>
    </r>
    <r>
      <rPr>
        <sz val="11"/>
        <color theme="1"/>
        <rFont val="Calibri"/>
        <family val="2"/>
        <scheme val="minor"/>
      </rPr>
      <t xml:space="preserve">-Welds moment of inertia about the </t>
    </r>
  </si>
  <si>
    <t>major axis of the beam</t>
  </si>
  <si>
    <r>
      <t>Mnw-</t>
    </r>
    <r>
      <rPr>
        <sz val="11"/>
        <color theme="1"/>
        <rFont val="Calibri"/>
        <family val="2"/>
        <scheme val="minor"/>
      </rPr>
      <t>Connection Strength Based on Welding to the end plate</t>
    </r>
  </si>
  <si>
    <t>Mnw(t.cm)</t>
  </si>
</sst>
</file>

<file path=xl/styles.xml><?xml version="1.0" encoding="utf-8"?>
<styleSheet xmlns="http://schemas.openxmlformats.org/spreadsheetml/2006/main">
  <numFmts count="1">
    <numFmt numFmtId="164" formatCode="0.0"/>
  </numFmts>
  <fonts count="4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3"/>
      <color theme="1"/>
      <name val="Bookman Old Style"/>
      <family val="1"/>
    </font>
    <font>
      <sz val="10"/>
      <name val="Times New Roman"/>
      <family val="1"/>
      <charset val="178"/>
    </font>
    <font>
      <b/>
      <sz val="11"/>
      <name val="Arial Narrow"/>
      <family val="2"/>
    </font>
    <font>
      <b/>
      <sz val="13"/>
      <name val="Bookman Old Style"/>
      <family val="1"/>
    </font>
    <font>
      <b/>
      <sz val="14"/>
      <name val="Arial"/>
      <family val="2"/>
    </font>
    <font>
      <sz val="8"/>
      <name val="Arial"/>
      <family val="2"/>
    </font>
    <font>
      <b/>
      <sz val="11"/>
      <color theme="1"/>
      <name val="Arial Narrow"/>
      <family val="2"/>
    </font>
    <font>
      <b/>
      <u/>
      <sz val="12"/>
      <color theme="1"/>
      <name val="Franklin Gothic Demi Cond"/>
      <family val="2"/>
    </font>
    <font>
      <b/>
      <u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2.65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9"/>
      <color theme="1"/>
      <name val="Calibri"/>
      <family val="2"/>
    </font>
    <font>
      <sz val="11"/>
      <name val="Calibri"/>
      <family val="2"/>
      <scheme val="minor"/>
    </font>
    <font>
      <sz val="11"/>
      <color indexed="81"/>
      <name val="Pristina"/>
      <family val="4"/>
    </font>
    <font>
      <i/>
      <u/>
      <sz val="11"/>
      <color theme="1"/>
      <name val="Calibri"/>
      <family val="2"/>
      <scheme val="minor"/>
    </font>
    <font>
      <b/>
      <i/>
      <sz val="11"/>
      <color theme="1"/>
      <name val="Arial Narrow"/>
      <family val="2"/>
    </font>
    <font>
      <b/>
      <i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3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13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0" xfId="0" applyBorder="1"/>
    <xf numFmtId="0" fontId="2" fillId="0" borderId="2" xfId="0" applyFont="1" applyFill="1" applyBorder="1" applyAlignment="1">
      <alignment horizontal="center" vertical="center"/>
    </xf>
    <xf numFmtId="0" fontId="0" fillId="0" borderId="3" xfId="0" applyBorder="1"/>
    <xf numFmtId="0" fontId="0" fillId="0" borderId="5" xfId="0" applyBorder="1"/>
    <xf numFmtId="0" fontId="10" fillId="0" borderId="4" xfId="0" applyFont="1" applyFill="1" applyBorder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0" xfId="0" applyAlignment="1"/>
    <xf numFmtId="0" fontId="0" fillId="3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2" fontId="0" fillId="3" borderId="7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right" vertical="center"/>
    </xf>
    <xf numFmtId="49" fontId="0" fillId="2" borderId="10" xfId="0" applyNumberFormat="1" applyFill="1" applyBorder="1" applyAlignment="1">
      <alignment horizontal="center"/>
    </xf>
    <xf numFmtId="0" fontId="21" fillId="4" borderId="0" xfId="0" applyFont="1" applyFill="1"/>
    <xf numFmtId="0" fontId="0" fillId="4" borderId="0" xfId="0" applyFill="1"/>
    <xf numFmtId="164" fontId="0" fillId="3" borderId="7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right"/>
    </xf>
    <xf numFmtId="2" fontId="0" fillId="3" borderId="10" xfId="0" applyNumberFormat="1" applyFill="1" applyBorder="1" applyAlignment="1">
      <alignment horizontal="center" vertical="center"/>
    </xf>
    <xf numFmtId="0" fontId="1" fillId="0" borderId="0" xfId="0" applyFont="1" applyFill="1" applyBorder="1" applyAlignment="1"/>
    <xf numFmtId="0" fontId="0" fillId="0" borderId="0" xfId="0" applyFont="1" applyFill="1" applyBorder="1" applyAlignment="1"/>
    <xf numFmtId="0" fontId="0" fillId="3" borderId="7" xfId="0" applyFont="1" applyFill="1" applyBorder="1" applyAlignment="1">
      <alignment horizontal="center" vertical="center"/>
    </xf>
    <xf numFmtId="2" fontId="0" fillId="3" borderId="7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2" fontId="29" fillId="0" borderId="0" xfId="0" applyNumberFormat="1" applyFont="1" applyFill="1" applyBorder="1" applyAlignment="1">
      <alignment horizontal="center"/>
    </xf>
    <xf numFmtId="1" fontId="27" fillId="5" borderId="7" xfId="0" applyNumberFormat="1" applyFont="1" applyFill="1" applyBorder="1" applyAlignment="1">
      <alignment horizontal="center" vertical="center"/>
    </xf>
    <xf numFmtId="0" fontId="0" fillId="2" borderId="10" xfId="0" applyFill="1" applyBorder="1"/>
    <xf numFmtId="0" fontId="12" fillId="0" borderId="4" xfId="0" applyFont="1" applyFill="1" applyBorder="1" applyAlignment="1">
      <alignment horizontal="left"/>
    </xf>
    <xf numFmtId="0" fontId="1" fillId="0" borderId="4" xfId="0" applyFont="1" applyBorder="1"/>
    <xf numFmtId="0" fontId="1" fillId="0" borderId="0" xfId="0" applyFont="1" applyBorder="1"/>
    <xf numFmtId="0" fontId="0" fillId="0" borderId="4" xfId="0" applyFont="1" applyBorder="1"/>
    <xf numFmtId="0" fontId="23" fillId="0" borderId="4" xfId="0" applyFont="1" applyBorder="1"/>
    <xf numFmtId="0" fontId="23" fillId="0" borderId="0" xfId="0" applyFont="1" applyBorder="1"/>
    <xf numFmtId="0" fontId="11" fillId="0" borderId="4" xfId="0" applyFont="1" applyFill="1" applyBorder="1" applyAlignment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4" xfId="0" applyFill="1" applyBorder="1" applyAlignment="1">
      <alignment horizontal="right"/>
    </xf>
    <xf numFmtId="0" fontId="1" fillId="0" borderId="0" xfId="0" applyFont="1" applyBorder="1" applyAlignment="1">
      <alignment horizontal="center" vertical="center"/>
    </xf>
    <xf numFmtId="0" fontId="22" fillId="0" borderId="0" xfId="0" applyFont="1" applyBorder="1"/>
    <xf numFmtId="0" fontId="25" fillId="0" borderId="4" xfId="0" applyFont="1" applyBorder="1"/>
    <xf numFmtId="0" fontId="0" fillId="0" borderId="0" xfId="0" applyFont="1" applyBorder="1" applyAlignment="1">
      <alignment horizontal="center" vertical="center"/>
    </xf>
    <xf numFmtId="0" fontId="25" fillId="0" borderId="0" xfId="0" applyFont="1" applyBorder="1"/>
    <xf numFmtId="0" fontId="21" fillId="0" borderId="4" xfId="0" applyFont="1" applyBorder="1"/>
    <xf numFmtId="2" fontId="0" fillId="0" borderId="0" xfId="0" applyNumberFormat="1" applyBorder="1" applyAlignment="1">
      <alignment horizontal="center" vertical="center"/>
    </xf>
    <xf numFmtId="0" fontId="31" fillId="0" borderId="4" xfId="0" applyFont="1" applyBorder="1"/>
    <xf numFmtId="0" fontId="31" fillId="0" borderId="0" xfId="0" applyFont="1" applyBorder="1"/>
    <xf numFmtId="0" fontId="32" fillId="0" borderId="0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49" fontId="0" fillId="0" borderId="0" xfId="0" applyNumberFormat="1" applyBorder="1" applyAlignment="1">
      <alignment horizontal="left"/>
    </xf>
    <xf numFmtId="49" fontId="0" fillId="0" borderId="0" xfId="0" applyNumberFormat="1" applyBorder="1"/>
    <xf numFmtId="49" fontId="33" fillId="0" borderId="0" xfId="0" applyNumberFormat="1" applyFont="1" applyBorder="1" applyAlignment="1">
      <alignment horizontal="left"/>
    </xf>
    <xf numFmtId="2" fontId="0" fillId="2" borderId="7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2" fontId="0" fillId="0" borderId="0" xfId="0" applyNumberFormat="1"/>
    <xf numFmtId="0" fontId="0" fillId="0" borderId="0" xfId="0" applyFill="1" applyBorder="1"/>
    <xf numFmtId="49" fontId="0" fillId="0" borderId="4" xfId="0" applyNumberFormat="1" applyFont="1" applyBorder="1" applyAlignment="1">
      <alignment horizontal="left"/>
    </xf>
    <xf numFmtId="0" fontId="2" fillId="0" borderId="12" xfId="0" applyFont="1" applyFill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7" fillId="0" borderId="12" xfId="1" applyFont="1" applyBorder="1" applyAlignment="1">
      <alignment vertical="center"/>
    </xf>
    <xf numFmtId="0" fontId="5" fillId="0" borderId="12" xfId="1" applyFont="1" applyBorder="1" applyAlignment="1">
      <alignment horizontal="left" vertical="center"/>
    </xf>
    <xf numFmtId="0" fontId="8" fillId="0" borderId="12" xfId="1" applyFont="1" applyBorder="1" applyAlignment="1">
      <alignment horizontal="center" vertical="center"/>
    </xf>
    <xf numFmtId="14" fontId="8" fillId="0" borderId="12" xfId="1" applyNumberFormat="1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5" fillId="0" borderId="16" xfId="1" applyFont="1" applyBorder="1" applyAlignment="1">
      <alignment horizontal="center" vertical="center"/>
    </xf>
    <xf numFmtId="14" fontId="8" fillId="0" borderId="17" xfId="1" applyNumberFormat="1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8" fillId="0" borderId="4" xfId="0" applyFont="1" applyBorder="1" applyAlignment="1">
      <alignment horizontal="left"/>
    </xf>
    <xf numFmtId="1" fontId="0" fillId="3" borderId="7" xfId="0" applyNumberForma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right"/>
    </xf>
    <xf numFmtId="0" fontId="38" fillId="0" borderId="0" xfId="0" applyFont="1" applyBorder="1"/>
    <xf numFmtId="0" fontId="39" fillId="0" borderId="0" xfId="0" applyFont="1" applyBorder="1"/>
    <xf numFmtId="0" fontId="38" fillId="0" borderId="4" xfId="0" applyFont="1" applyBorder="1"/>
    <xf numFmtId="0" fontId="0" fillId="0" borderId="4" xfId="0" applyFill="1" applyBorder="1" applyAlignment="1">
      <alignment horizontal="left"/>
    </xf>
    <xf numFmtId="2" fontId="0" fillId="0" borderId="0" xfId="0" applyNumberFormat="1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7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4" fontId="8" fillId="0" borderId="12" xfId="1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right"/>
    </xf>
    <xf numFmtId="0" fontId="21" fillId="0" borderId="5" xfId="0" applyFont="1" applyBorder="1" applyAlignment="1">
      <alignment horizontal="right"/>
    </xf>
    <xf numFmtId="0" fontId="18" fillId="0" borderId="4" xfId="0" applyFont="1" applyBorder="1" applyAlignment="1">
      <alignment horizontal="right"/>
    </xf>
    <xf numFmtId="0" fontId="18" fillId="0" borderId="5" xfId="0" applyFont="1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0" fillId="0" borderId="4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5" xfId="0" applyFill="1" applyBorder="1" applyAlignment="1">
      <alignment horizontal="right"/>
    </xf>
    <xf numFmtId="0" fontId="23" fillId="0" borderId="4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34" fillId="0" borderId="22" xfId="0" applyFont="1" applyBorder="1" applyAlignment="1">
      <alignment horizontal="center"/>
    </xf>
    <xf numFmtId="0" fontId="34" fillId="0" borderId="23" xfId="0" applyFont="1" applyBorder="1" applyAlignment="1">
      <alignment horizontal="center"/>
    </xf>
    <xf numFmtId="1" fontId="35" fillId="0" borderId="19" xfId="0" applyNumberFormat="1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34" fillId="0" borderId="21" xfId="0" applyFont="1" applyBorder="1" applyAlignment="1">
      <alignment horizontal="center"/>
    </xf>
    <xf numFmtId="1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9" fillId="0" borderId="0" xfId="0" applyFont="1" applyFill="1" applyBorder="1" applyAlignment="1">
      <alignment horizontal="left"/>
    </xf>
  </cellXfs>
  <cellStyles count="2">
    <cellStyle name="Normal" xfId="0" builtinId="0"/>
    <cellStyle name="Normal_clip angle fin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1</xdr:row>
      <xdr:rowOff>123825</xdr:rowOff>
    </xdr:from>
    <xdr:to>
      <xdr:col>7</xdr:col>
      <xdr:colOff>438150</xdr:colOff>
      <xdr:row>3</xdr:row>
      <xdr:rowOff>190500</xdr:rowOff>
    </xdr:to>
    <xdr:sp macro="" textlink="">
      <xdr:nvSpPr>
        <xdr:cNvPr id="2" name="Text Box 385"/>
        <xdr:cNvSpPr txBox="1">
          <a:spLocks noChangeArrowheads="1"/>
        </xdr:cNvSpPr>
      </xdr:nvSpPr>
      <xdr:spPr bwMode="auto">
        <a:xfrm>
          <a:off x="962025" y="314325"/>
          <a:ext cx="4371975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215868"/>
              </a:solidFill>
              <a:latin typeface="Calibri"/>
            </a:rPr>
            <a:t>P.O.BOX 12443 – JEDDAH 21473 – SAUDI ARABIA</a:t>
          </a:r>
        </a:p>
        <a:p>
          <a:pPr algn="ctr" rtl="1">
            <a:defRPr sz="1000"/>
          </a:pPr>
          <a:r>
            <a:rPr lang="en-US" sz="1000" b="1" i="0" strike="noStrike">
              <a:solidFill>
                <a:srgbClr val="215868"/>
              </a:solidFill>
              <a:latin typeface="Calibri"/>
            </a:rPr>
            <a:t>TEL : +966-2-2250065  FAX : +966-2-2250073</a:t>
          </a:r>
        </a:p>
        <a:p>
          <a:pPr algn="ctr" rtl="1">
            <a:defRPr sz="1000"/>
          </a:pPr>
          <a:r>
            <a:rPr lang="en-US" sz="1000" b="1" i="0" strike="noStrike">
              <a:solidFill>
                <a:srgbClr val="215868"/>
              </a:solidFill>
              <a:latin typeface="Calibri"/>
            </a:rPr>
            <a:t>E-MAIL : BEMCO@BEMCOSTEEL.COM.SA  WEB : WWW.BEMCOSTEEL.COM.SA</a:t>
          </a:r>
        </a:p>
        <a:p>
          <a:pPr algn="ctr" rtl="1">
            <a:defRPr sz="1000"/>
          </a:pPr>
          <a:endParaRPr lang="en-US" sz="1000" b="1" i="0" strike="noStrike">
            <a:solidFill>
              <a:srgbClr val="215868"/>
            </a:solidFill>
            <a:latin typeface="Calibri"/>
          </a:endParaRPr>
        </a:p>
      </xdr:txBody>
    </xdr:sp>
    <xdr:clientData/>
  </xdr:twoCellAnchor>
  <xdr:twoCellAnchor>
    <xdr:from>
      <xdr:col>2</xdr:col>
      <xdr:colOff>333375</xdr:colOff>
      <xdr:row>0</xdr:row>
      <xdr:rowOff>28575</xdr:rowOff>
    </xdr:from>
    <xdr:to>
      <xdr:col>6</xdr:col>
      <xdr:colOff>352425</xdr:colOff>
      <xdr:row>1</xdr:row>
      <xdr:rowOff>104775</xdr:rowOff>
    </xdr:to>
    <xdr:sp macro="" textlink="">
      <xdr:nvSpPr>
        <xdr:cNvPr id="3" name="WordArt 383"/>
        <xdr:cNvSpPr>
          <a:spLocks noChangeArrowheads="1" noChangeShapeType="1" noTextEdit="1"/>
        </xdr:cNvSpPr>
      </xdr:nvSpPr>
      <xdr:spPr bwMode="auto">
        <a:xfrm>
          <a:off x="1762125" y="28575"/>
          <a:ext cx="2876550" cy="2667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3600" b="1" kern="10" spc="0">
              <a:ln w="9525">
                <a:noFill/>
                <a:round/>
                <a:headEnd/>
                <a:tailEnd/>
              </a:ln>
              <a:solidFill>
                <a:srgbClr val="808080"/>
              </a:solidFill>
              <a:effectLst/>
              <a:latin typeface="Arial"/>
              <a:cs typeface="Arial"/>
            </a:rPr>
            <a:t>BEMCO STEEL INDUSTRIES CO.LTD.</a:t>
          </a:r>
        </a:p>
      </xdr:txBody>
    </xdr:sp>
    <xdr:clientData/>
  </xdr:twoCellAnchor>
  <xdr:twoCellAnchor>
    <xdr:from>
      <xdr:col>0</xdr:col>
      <xdr:colOff>19050</xdr:colOff>
      <xdr:row>0</xdr:row>
      <xdr:rowOff>0</xdr:rowOff>
    </xdr:from>
    <xdr:to>
      <xdr:col>1</xdr:col>
      <xdr:colOff>0</xdr:colOff>
      <xdr:row>4</xdr:row>
      <xdr:rowOff>0</xdr:rowOff>
    </xdr:to>
    <xdr:grpSp>
      <xdr:nvGrpSpPr>
        <xdr:cNvPr id="4" name="Group 377"/>
        <xdr:cNvGrpSpPr>
          <a:grpSpLocks noChangeAspect="1"/>
        </xdr:cNvGrpSpPr>
      </xdr:nvGrpSpPr>
      <xdr:grpSpPr bwMode="auto">
        <a:xfrm>
          <a:off x="19050" y="0"/>
          <a:ext cx="590550" cy="771525"/>
          <a:chOff x="10280" y="865"/>
          <a:chExt cx="680" cy="680"/>
        </a:xfrm>
      </xdr:grpSpPr>
      <xdr:sp macro="" textlink="">
        <xdr:nvSpPr>
          <xdr:cNvPr id="5" name="Rectangle 378"/>
          <xdr:cNvSpPr>
            <a:spLocks noChangeAspect="1" noChangeArrowheads="1"/>
          </xdr:cNvSpPr>
        </xdr:nvSpPr>
        <xdr:spPr bwMode="auto">
          <a:xfrm>
            <a:off x="10280" y="865"/>
            <a:ext cx="680" cy="680"/>
          </a:xfrm>
          <a:prstGeom prst="rect">
            <a:avLst/>
          </a:prstGeom>
          <a:solidFill>
            <a:srgbClr val="FF9900"/>
          </a:solidFill>
          <a:ln w="3175">
            <a:noFill/>
            <a:miter lim="800000"/>
            <a:headEnd/>
            <a:tailEnd/>
          </a:ln>
        </xdr:spPr>
      </xdr:sp>
      <xdr:sp macro="" textlink="">
        <xdr:nvSpPr>
          <xdr:cNvPr id="6" name="Freeform 379"/>
          <xdr:cNvSpPr>
            <a:spLocks noChangeAspect="1"/>
          </xdr:cNvSpPr>
        </xdr:nvSpPr>
        <xdr:spPr bwMode="auto">
          <a:xfrm>
            <a:off x="10298" y="901"/>
            <a:ext cx="641" cy="618"/>
          </a:xfrm>
          <a:custGeom>
            <a:avLst/>
            <a:gdLst>
              <a:gd name="T0" fmla="*/ 0 w 1978"/>
              <a:gd name="T1" fmla="*/ 0 h 1984"/>
              <a:gd name="T2" fmla="*/ 0 w 1978"/>
              <a:gd name="T3" fmla="*/ 0 h 1984"/>
              <a:gd name="T4" fmla="*/ 0 w 1978"/>
              <a:gd name="T5" fmla="*/ 0 h 1984"/>
              <a:gd name="T6" fmla="*/ 0 w 1978"/>
              <a:gd name="T7" fmla="*/ 0 h 1984"/>
              <a:gd name="T8" fmla="*/ 0 w 1978"/>
              <a:gd name="T9" fmla="*/ 0 h 1984"/>
              <a:gd name="T10" fmla="*/ 0 w 1978"/>
              <a:gd name="T11" fmla="*/ 0 h 1984"/>
              <a:gd name="T12" fmla="*/ 0 w 1978"/>
              <a:gd name="T13" fmla="*/ 0 h 1984"/>
              <a:gd name="T14" fmla="*/ 0 w 1978"/>
              <a:gd name="T15" fmla="*/ 0 h 1984"/>
              <a:gd name="T16" fmla="*/ 0 w 1978"/>
              <a:gd name="T17" fmla="*/ 0 h 1984"/>
              <a:gd name="T18" fmla="*/ 0 w 1978"/>
              <a:gd name="T19" fmla="*/ 0 h 1984"/>
              <a:gd name="T20" fmla="*/ 0 w 1978"/>
              <a:gd name="T21" fmla="*/ 0 h 1984"/>
              <a:gd name="T22" fmla="*/ 0 w 1978"/>
              <a:gd name="T23" fmla="*/ 0 h 1984"/>
              <a:gd name="T24" fmla="*/ 0 w 1978"/>
              <a:gd name="T25" fmla="*/ 0 h 1984"/>
              <a:gd name="T26" fmla="*/ 0 w 1978"/>
              <a:gd name="T27" fmla="*/ 0 h 1984"/>
              <a:gd name="T28" fmla="*/ 0 w 1978"/>
              <a:gd name="T29" fmla="*/ 0 h 1984"/>
              <a:gd name="T30" fmla="*/ 0 w 1978"/>
              <a:gd name="T31" fmla="*/ 0 h 1984"/>
              <a:gd name="T32" fmla="*/ 0 w 1978"/>
              <a:gd name="T33" fmla="*/ 0 h 1984"/>
              <a:gd name="T34" fmla="*/ 0 w 1978"/>
              <a:gd name="T35" fmla="*/ 0 h 1984"/>
              <a:gd name="T36" fmla="*/ 0 w 1978"/>
              <a:gd name="T37" fmla="*/ 0 h 1984"/>
              <a:gd name="T38" fmla="*/ 0 w 1978"/>
              <a:gd name="T39" fmla="*/ 0 h 1984"/>
              <a:gd name="T40" fmla="*/ 0 w 1978"/>
              <a:gd name="T41" fmla="*/ 0 h 1984"/>
              <a:gd name="T42" fmla="*/ 0 w 1978"/>
              <a:gd name="T43" fmla="*/ 0 h 1984"/>
              <a:gd name="T44" fmla="*/ 0 w 1978"/>
              <a:gd name="T45" fmla="*/ 0 h 1984"/>
              <a:gd name="T46" fmla="*/ 0 w 1978"/>
              <a:gd name="T47" fmla="*/ 0 h 1984"/>
              <a:gd name="T48" fmla="*/ 0 w 1978"/>
              <a:gd name="T49" fmla="*/ 0 h 1984"/>
              <a:gd name="T50" fmla="*/ 0 w 1978"/>
              <a:gd name="T51" fmla="*/ 0 h 1984"/>
              <a:gd name="T52" fmla="*/ 0 w 1978"/>
              <a:gd name="T53" fmla="*/ 0 h 1984"/>
              <a:gd name="T54" fmla="*/ 0 w 1978"/>
              <a:gd name="T55" fmla="*/ 0 h 1984"/>
              <a:gd name="T56" fmla="*/ 0 w 1978"/>
              <a:gd name="T57" fmla="*/ 0 h 1984"/>
              <a:gd name="T58" fmla="*/ 0 w 1978"/>
              <a:gd name="T59" fmla="*/ 0 h 1984"/>
              <a:gd name="T60" fmla="*/ 0 w 1978"/>
              <a:gd name="T61" fmla="*/ 0 h 1984"/>
              <a:gd name="T62" fmla="*/ 0 w 1978"/>
              <a:gd name="T63" fmla="*/ 0 h 1984"/>
              <a:gd name="T64" fmla="*/ 0 w 1978"/>
              <a:gd name="T65" fmla="*/ 0 h 1984"/>
              <a:gd name="T66" fmla="*/ 0 w 1978"/>
              <a:gd name="T67" fmla="*/ 0 h 1984"/>
              <a:gd name="T68" fmla="*/ 0 w 1978"/>
              <a:gd name="T69" fmla="*/ 0 h 1984"/>
              <a:gd name="T70" fmla="*/ 0 w 1978"/>
              <a:gd name="T71" fmla="*/ 0 h 1984"/>
              <a:gd name="T72" fmla="*/ 0 w 1978"/>
              <a:gd name="T73" fmla="*/ 0 h 1984"/>
              <a:gd name="T74" fmla="*/ 0 w 1978"/>
              <a:gd name="T75" fmla="*/ 0 h 1984"/>
              <a:gd name="T76" fmla="*/ 0 w 1978"/>
              <a:gd name="T77" fmla="*/ 0 h 1984"/>
              <a:gd name="T78" fmla="*/ 0 w 1978"/>
              <a:gd name="T79" fmla="*/ 0 h 1984"/>
              <a:gd name="T80" fmla="*/ 0 w 1978"/>
              <a:gd name="T81" fmla="*/ 0 h 1984"/>
              <a:gd name="T82" fmla="*/ 0 w 1978"/>
              <a:gd name="T83" fmla="*/ 0 h 1984"/>
              <a:gd name="T84" fmla="*/ 0 w 1978"/>
              <a:gd name="T85" fmla="*/ 0 h 1984"/>
              <a:gd name="T86" fmla="*/ 0 w 1978"/>
              <a:gd name="T87" fmla="*/ 0 h 1984"/>
              <a:gd name="T88" fmla="*/ 0 w 1978"/>
              <a:gd name="T89" fmla="*/ 0 h 1984"/>
              <a:gd name="T90" fmla="*/ 0 w 1978"/>
              <a:gd name="T91" fmla="*/ 0 h 1984"/>
              <a:gd name="T92" fmla="*/ 0 w 1978"/>
              <a:gd name="T93" fmla="*/ 0 h 1984"/>
              <a:gd name="T94" fmla="*/ 0 w 1978"/>
              <a:gd name="T95" fmla="*/ 0 h 1984"/>
              <a:gd name="T96" fmla="*/ 0 w 1978"/>
              <a:gd name="T97" fmla="*/ 0 h 1984"/>
              <a:gd name="T98" fmla="*/ 0 w 1978"/>
              <a:gd name="T99" fmla="*/ 0 h 1984"/>
              <a:gd name="T100" fmla="*/ 0 w 1978"/>
              <a:gd name="T101" fmla="*/ 0 h 1984"/>
              <a:gd name="T102" fmla="*/ 0 w 1978"/>
              <a:gd name="T103" fmla="*/ 0 h 1984"/>
              <a:gd name="T104" fmla="*/ 0 w 1978"/>
              <a:gd name="T105" fmla="*/ 0 h 1984"/>
              <a:gd name="T106" fmla="*/ 0 w 1978"/>
              <a:gd name="T107" fmla="*/ 0 h 1984"/>
              <a:gd name="T108" fmla="*/ 0 w 1978"/>
              <a:gd name="T109" fmla="*/ 0 h 1984"/>
              <a:gd name="T110" fmla="*/ 0 w 1978"/>
              <a:gd name="T111" fmla="*/ 0 h 1984"/>
              <a:gd name="T112" fmla="*/ 0 w 1978"/>
              <a:gd name="T113" fmla="*/ 0 h 1984"/>
              <a:gd name="T114" fmla="*/ 0 w 1978"/>
              <a:gd name="T115" fmla="*/ 0 h 1984"/>
              <a:gd name="T116" fmla="*/ 0 w 1978"/>
              <a:gd name="T117" fmla="*/ 0 h 1984"/>
              <a:gd name="T118" fmla="*/ 0 w 1978"/>
              <a:gd name="T119" fmla="*/ 0 h 1984"/>
              <a:gd name="T120" fmla="*/ 0 w 1978"/>
              <a:gd name="T121" fmla="*/ 0 h 1984"/>
              <a:gd name="T122" fmla="*/ 0 w 1978"/>
              <a:gd name="T123" fmla="*/ 0 h 1984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1978"/>
              <a:gd name="T187" fmla="*/ 0 h 1984"/>
              <a:gd name="T188" fmla="*/ 1978 w 1978"/>
              <a:gd name="T189" fmla="*/ 1984 h 1984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1978" h="1984">
                <a:moveTo>
                  <a:pt x="823" y="997"/>
                </a:moveTo>
                <a:lnTo>
                  <a:pt x="322" y="913"/>
                </a:lnTo>
                <a:lnTo>
                  <a:pt x="282" y="907"/>
                </a:lnTo>
                <a:lnTo>
                  <a:pt x="264" y="895"/>
                </a:lnTo>
                <a:lnTo>
                  <a:pt x="267" y="873"/>
                </a:lnTo>
                <a:lnTo>
                  <a:pt x="295" y="846"/>
                </a:lnTo>
                <a:lnTo>
                  <a:pt x="832" y="309"/>
                </a:lnTo>
                <a:lnTo>
                  <a:pt x="861" y="279"/>
                </a:lnTo>
                <a:lnTo>
                  <a:pt x="883" y="276"/>
                </a:lnTo>
                <a:lnTo>
                  <a:pt x="895" y="292"/>
                </a:lnTo>
                <a:lnTo>
                  <a:pt x="895" y="339"/>
                </a:lnTo>
                <a:lnTo>
                  <a:pt x="894" y="1860"/>
                </a:lnTo>
                <a:lnTo>
                  <a:pt x="906" y="1912"/>
                </a:lnTo>
                <a:lnTo>
                  <a:pt x="928" y="1950"/>
                </a:lnTo>
                <a:lnTo>
                  <a:pt x="960" y="1975"/>
                </a:lnTo>
                <a:lnTo>
                  <a:pt x="991" y="1984"/>
                </a:lnTo>
                <a:lnTo>
                  <a:pt x="1033" y="1984"/>
                </a:lnTo>
                <a:lnTo>
                  <a:pt x="1083" y="1974"/>
                </a:lnTo>
                <a:lnTo>
                  <a:pt x="1128" y="1945"/>
                </a:lnTo>
                <a:lnTo>
                  <a:pt x="1165" y="1906"/>
                </a:lnTo>
                <a:lnTo>
                  <a:pt x="1908" y="1167"/>
                </a:lnTo>
                <a:lnTo>
                  <a:pt x="1942" y="1128"/>
                </a:lnTo>
                <a:lnTo>
                  <a:pt x="1966" y="1090"/>
                </a:lnTo>
                <a:lnTo>
                  <a:pt x="1978" y="1044"/>
                </a:lnTo>
                <a:lnTo>
                  <a:pt x="1978" y="996"/>
                </a:lnTo>
                <a:lnTo>
                  <a:pt x="1968" y="961"/>
                </a:lnTo>
                <a:lnTo>
                  <a:pt x="1944" y="927"/>
                </a:lnTo>
                <a:lnTo>
                  <a:pt x="1911" y="909"/>
                </a:lnTo>
                <a:lnTo>
                  <a:pt x="1876" y="898"/>
                </a:lnTo>
                <a:lnTo>
                  <a:pt x="1159" y="900"/>
                </a:lnTo>
                <a:lnTo>
                  <a:pt x="1159" y="997"/>
                </a:lnTo>
                <a:lnTo>
                  <a:pt x="1654" y="1078"/>
                </a:lnTo>
                <a:lnTo>
                  <a:pt x="1698" y="1086"/>
                </a:lnTo>
                <a:lnTo>
                  <a:pt x="1716" y="1098"/>
                </a:lnTo>
                <a:lnTo>
                  <a:pt x="1713" y="1122"/>
                </a:lnTo>
                <a:lnTo>
                  <a:pt x="1681" y="1155"/>
                </a:lnTo>
                <a:lnTo>
                  <a:pt x="1140" y="1689"/>
                </a:lnTo>
                <a:lnTo>
                  <a:pt x="1116" y="1714"/>
                </a:lnTo>
                <a:lnTo>
                  <a:pt x="1096" y="1716"/>
                </a:lnTo>
                <a:lnTo>
                  <a:pt x="1084" y="1701"/>
                </a:lnTo>
                <a:lnTo>
                  <a:pt x="1087" y="1671"/>
                </a:lnTo>
                <a:lnTo>
                  <a:pt x="1084" y="147"/>
                </a:lnTo>
                <a:lnTo>
                  <a:pt x="1080" y="97"/>
                </a:lnTo>
                <a:lnTo>
                  <a:pt x="1072" y="64"/>
                </a:lnTo>
                <a:lnTo>
                  <a:pt x="1056" y="37"/>
                </a:lnTo>
                <a:lnTo>
                  <a:pt x="1035" y="16"/>
                </a:lnTo>
                <a:lnTo>
                  <a:pt x="991" y="0"/>
                </a:lnTo>
                <a:lnTo>
                  <a:pt x="943" y="0"/>
                </a:lnTo>
                <a:lnTo>
                  <a:pt x="897" y="13"/>
                </a:lnTo>
                <a:lnTo>
                  <a:pt x="855" y="39"/>
                </a:lnTo>
                <a:lnTo>
                  <a:pt x="811" y="79"/>
                </a:lnTo>
                <a:lnTo>
                  <a:pt x="73" y="822"/>
                </a:lnTo>
                <a:lnTo>
                  <a:pt x="40" y="868"/>
                </a:lnTo>
                <a:lnTo>
                  <a:pt x="18" y="900"/>
                </a:lnTo>
                <a:lnTo>
                  <a:pt x="3" y="939"/>
                </a:lnTo>
                <a:lnTo>
                  <a:pt x="0" y="993"/>
                </a:lnTo>
                <a:lnTo>
                  <a:pt x="21" y="1039"/>
                </a:lnTo>
                <a:lnTo>
                  <a:pt x="54" y="1069"/>
                </a:lnTo>
                <a:lnTo>
                  <a:pt x="91" y="1089"/>
                </a:lnTo>
                <a:lnTo>
                  <a:pt x="139" y="1093"/>
                </a:lnTo>
                <a:lnTo>
                  <a:pt x="823" y="1093"/>
                </a:lnTo>
                <a:lnTo>
                  <a:pt x="823" y="997"/>
                </a:lnTo>
                <a:close/>
              </a:path>
            </a:pathLst>
          </a:custGeom>
          <a:solidFill>
            <a:srgbClr val="336600"/>
          </a:solidFill>
          <a:ln w="3175">
            <a:noFill/>
            <a:round/>
            <a:headEnd/>
            <a:tailEnd/>
          </a:ln>
        </xdr:spPr>
      </xdr:sp>
    </xdr:grpSp>
    <xdr:clientData/>
  </xdr:twoCellAnchor>
  <xdr:twoCellAnchor>
    <xdr:from>
      <xdr:col>7</xdr:col>
      <xdr:colOff>757444</xdr:colOff>
      <xdr:row>0</xdr:row>
      <xdr:rowOff>15323</xdr:rowOff>
    </xdr:from>
    <xdr:to>
      <xdr:col>9</xdr:col>
      <xdr:colOff>477906</xdr:colOff>
      <xdr:row>3</xdr:row>
      <xdr:rowOff>167723</xdr:rowOff>
    </xdr:to>
    <xdr:pic>
      <xdr:nvPicPr>
        <xdr:cNvPr id="7" name="Picture 380" descr="UKAS+SGS-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653294" y="15323"/>
          <a:ext cx="1158737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587271</xdr:colOff>
      <xdr:row>147</xdr:row>
      <xdr:rowOff>17359</xdr:rowOff>
    </xdr:from>
    <xdr:to>
      <xdr:col>0</xdr:col>
      <xdr:colOff>588859</xdr:colOff>
      <xdr:row>151</xdr:row>
      <xdr:rowOff>174729</xdr:rowOff>
    </xdr:to>
    <xdr:cxnSp macro="">
      <xdr:nvCxnSpPr>
        <xdr:cNvPr id="10" name="Straight Connector 9"/>
        <xdr:cNvCxnSpPr/>
      </xdr:nvCxnSpPr>
      <xdr:spPr>
        <a:xfrm rot="5400000">
          <a:off x="128380" y="19128685"/>
          <a:ext cx="919370" cy="1588"/>
        </a:xfrm>
        <a:prstGeom prst="line">
          <a:avLst/>
        </a:prstGeom>
        <a:ln w="9525">
          <a:solidFill>
            <a:sysClr val="windowText" lastClr="000000"/>
          </a:solidFill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588068</xdr:colOff>
      <xdr:row>147</xdr:row>
      <xdr:rowOff>57980</xdr:rowOff>
    </xdr:from>
    <xdr:to>
      <xdr:col>6</xdr:col>
      <xdr:colOff>595557</xdr:colOff>
      <xdr:row>151</xdr:row>
      <xdr:rowOff>40624</xdr:rowOff>
    </xdr:to>
    <xdr:cxnSp macro="">
      <xdr:nvCxnSpPr>
        <xdr:cNvPr id="15" name="Straight Connector 14"/>
        <xdr:cNvCxnSpPr/>
      </xdr:nvCxnSpPr>
      <xdr:spPr>
        <a:xfrm rot="16200000" flipH="1">
          <a:off x="4352513" y="19269492"/>
          <a:ext cx="744644" cy="7489"/>
        </a:xfrm>
        <a:prstGeom prst="line">
          <a:avLst/>
        </a:prstGeom>
        <a:ln w="9525">
          <a:solidFill>
            <a:sysClr val="windowText" lastClr="000000"/>
          </a:solidFill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88125</xdr:colOff>
      <xdr:row>152</xdr:row>
      <xdr:rowOff>76201</xdr:rowOff>
    </xdr:from>
    <xdr:to>
      <xdr:col>9</xdr:col>
      <xdr:colOff>387210</xdr:colOff>
      <xdr:row>162</xdr:row>
      <xdr:rowOff>58857</xdr:rowOff>
    </xdr:to>
    <xdr:pic>
      <xdr:nvPicPr>
        <xdr:cNvPr id="12" name="Picture 3" descr="F.2_UNSTIFFENED_BF.png" hidden="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83975" y="29365576"/>
          <a:ext cx="1737360" cy="1944806"/>
        </a:xfrm>
        <a:prstGeom prst="rect">
          <a:avLst/>
        </a:prstGeom>
      </xdr:spPr>
    </xdr:pic>
    <xdr:clientData/>
  </xdr:twoCellAnchor>
  <xdr:twoCellAnchor editAs="oneCell">
    <xdr:from>
      <xdr:col>3</xdr:col>
      <xdr:colOff>495300</xdr:colOff>
      <xdr:row>101</xdr:row>
      <xdr:rowOff>190500</xdr:rowOff>
    </xdr:from>
    <xdr:to>
      <xdr:col>6</xdr:col>
      <xdr:colOff>229676</xdr:colOff>
      <xdr:row>113</xdr:row>
      <xdr:rowOff>160041</xdr:rowOff>
    </xdr:to>
    <xdr:pic>
      <xdr:nvPicPr>
        <xdr:cNvPr id="13" name="Picture 1" descr="F.2_UNSTIFFENED_GEO.png" hidden="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81300" y="19354800"/>
          <a:ext cx="1734626" cy="2369841"/>
        </a:xfrm>
        <a:prstGeom prst="rect">
          <a:avLst/>
        </a:prstGeom>
      </xdr:spPr>
    </xdr:pic>
    <xdr:clientData/>
  </xdr:twoCellAnchor>
  <xdr:twoCellAnchor editAs="oneCell">
    <xdr:from>
      <xdr:col>7</xdr:col>
      <xdr:colOff>197625</xdr:colOff>
      <xdr:row>131</xdr:row>
      <xdr:rowOff>56252</xdr:rowOff>
    </xdr:from>
    <xdr:to>
      <xdr:col>9</xdr:col>
      <xdr:colOff>496710</xdr:colOff>
      <xdr:row>144</xdr:row>
      <xdr:rowOff>30356</xdr:rowOff>
    </xdr:to>
    <xdr:pic>
      <xdr:nvPicPr>
        <xdr:cNvPr id="14" name="Picture 2" descr="F.2_UNSTIFFENED_YIELD.png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93475" y="25192727"/>
          <a:ext cx="1737360" cy="2583954"/>
        </a:xfrm>
        <a:prstGeom prst="rect">
          <a:avLst/>
        </a:prstGeom>
      </xdr:spPr>
    </xdr:pic>
    <xdr:clientData/>
  </xdr:twoCellAnchor>
  <xdr:twoCellAnchor editAs="oneCell">
    <xdr:from>
      <xdr:col>6</xdr:col>
      <xdr:colOff>123825</xdr:colOff>
      <xdr:row>152</xdr:row>
      <xdr:rowOff>76199</xdr:rowOff>
    </xdr:from>
    <xdr:to>
      <xdr:col>9</xdr:col>
      <xdr:colOff>342929</xdr:colOff>
      <xdr:row>164</xdr:row>
      <xdr:rowOff>101345</xdr:rowOff>
    </xdr:to>
    <xdr:pic>
      <xdr:nvPicPr>
        <xdr:cNvPr id="16" name="Picture 6" descr="F.4_UNSTIFFENED_BF.png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410075" y="29365574"/>
          <a:ext cx="2266979" cy="2368296"/>
        </a:xfrm>
        <a:prstGeom prst="rect">
          <a:avLst/>
        </a:prstGeom>
      </xdr:spPr>
    </xdr:pic>
    <xdr:clientData/>
  </xdr:twoCellAnchor>
  <xdr:twoCellAnchor editAs="oneCell">
    <xdr:from>
      <xdr:col>3</xdr:col>
      <xdr:colOff>521476</xdr:colOff>
      <xdr:row>101</xdr:row>
      <xdr:rowOff>188100</xdr:rowOff>
    </xdr:from>
    <xdr:to>
      <xdr:col>6</xdr:col>
      <xdr:colOff>165381</xdr:colOff>
      <xdr:row>113</xdr:row>
      <xdr:rowOff>156096</xdr:rowOff>
    </xdr:to>
    <xdr:pic>
      <xdr:nvPicPr>
        <xdr:cNvPr id="17" name="Picture 4" descr="F.4_UNSTIFFENED_GEO.png" hidden="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07476" y="19352400"/>
          <a:ext cx="1644155" cy="2368296"/>
        </a:xfrm>
        <a:prstGeom prst="rect">
          <a:avLst/>
        </a:prstGeom>
      </xdr:spPr>
    </xdr:pic>
    <xdr:clientData/>
  </xdr:twoCellAnchor>
  <xdr:twoCellAnchor editAs="oneCell">
    <xdr:from>
      <xdr:col>7</xdr:col>
      <xdr:colOff>204751</xdr:colOff>
      <xdr:row>131</xdr:row>
      <xdr:rowOff>109500</xdr:rowOff>
    </xdr:from>
    <xdr:to>
      <xdr:col>9</xdr:col>
      <xdr:colOff>470883</xdr:colOff>
      <xdr:row>143</xdr:row>
      <xdr:rowOff>58446</xdr:rowOff>
    </xdr:to>
    <xdr:pic>
      <xdr:nvPicPr>
        <xdr:cNvPr id="18" name="Picture 5" descr="F.4_UNSTIFFENED_YIELD.png" hidden="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00601" y="25245975"/>
          <a:ext cx="1704407" cy="2368296"/>
        </a:xfrm>
        <a:prstGeom prst="rect">
          <a:avLst/>
        </a:prstGeom>
      </xdr:spPr>
    </xdr:pic>
    <xdr:clientData/>
  </xdr:twoCellAnchor>
  <xdr:twoCellAnchor editAs="oneCell">
    <xdr:from>
      <xdr:col>6</xdr:col>
      <xdr:colOff>342900</xdr:colOff>
      <xdr:row>153</xdr:row>
      <xdr:rowOff>104776</xdr:rowOff>
    </xdr:from>
    <xdr:to>
      <xdr:col>9</xdr:col>
      <xdr:colOff>32385</xdr:colOff>
      <xdr:row>162</xdr:row>
      <xdr:rowOff>184121</xdr:rowOff>
    </xdr:to>
    <xdr:pic>
      <xdr:nvPicPr>
        <xdr:cNvPr id="19" name="Picture 9" descr="F.4_STIFF BETWEEN_BF.png" hidden="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629150" y="29603701"/>
          <a:ext cx="1737360" cy="1831945"/>
        </a:xfrm>
        <a:prstGeom prst="rect">
          <a:avLst/>
        </a:prstGeom>
      </xdr:spPr>
    </xdr:pic>
    <xdr:clientData/>
  </xdr:twoCellAnchor>
  <xdr:twoCellAnchor editAs="oneCell">
    <xdr:from>
      <xdr:col>3</xdr:col>
      <xdr:colOff>416700</xdr:colOff>
      <xdr:row>102</xdr:row>
      <xdr:rowOff>7125</xdr:rowOff>
    </xdr:from>
    <xdr:to>
      <xdr:col>6</xdr:col>
      <xdr:colOff>232143</xdr:colOff>
      <xdr:row>113</xdr:row>
      <xdr:rowOff>175146</xdr:rowOff>
    </xdr:to>
    <xdr:pic>
      <xdr:nvPicPr>
        <xdr:cNvPr id="20" name="Picture 7" descr="F.4_STIFF BETWEEN_GEO.png" hidden="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702700" y="19371450"/>
          <a:ext cx="1815693" cy="2368296"/>
        </a:xfrm>
        <a:prstGeom prst="rect">
          <a:avLst/>
        </a:prstGeom>
      </xdr:spPr>
    </xdr:pic>
    <xdr:clientData/>
  </xdr:twoCellAnchor>
  <xdr:twoCellAnchor editAs="oneCell">
    <xdr:from>
      <xdr:col>6</xdr:col>
      <xdr:colOff>576225</xdr:colOff>
      <xdr:row>131</xdr:row>
      <xdr:rowOff>157125</xdr:rowOff>
    </xdr:from>
    <xdr:to>
      <xdr:col>9</xdr:col>
      <xdr:colOff>286122</xdr:colOff>
      <xdr:row>143</xdr:row>
      <xdr:rowOff>106071</xdr:rowOff>
    </xdr:to>
    <xdr:pic>
      <xdr:nvPicPr>
        <xdr:cNvPr id="21" name="Picture 8" descr="F.4_STIFF BETWEEN_YIELD.png" hidden="1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862475" y="25293600"/>
          <a:ext cx="1757772" cy="2368296"/>
        </a:xfrm>
        <a:prstGeom prst="rect">
          <a:avLst/>
        </a:prstGeom>
      </xdr:spPr>
    </xdr:pic>
    <xdr:clientData/>
  </xdr:twoCellAnchor>
  <xdr:twoCellAnchor editAs="oneCell">
    <xdr:from>
      <xdr:col>7</xdr:col>
      <xdr:colOff>180975</xdr:colOff>
      <xdr:row>153</xdr:row>
      <xdr:rowOff>28575</xdr:rowOff>
    </xdr:from>
    <xdr:to>
      <xdr:col>9</xdr:col>
      <xdr:colOff>480060</xdr:colOff>
      <xdr:row>163</xdr:row>
      <xdr:rowOff>55187</xdr:rowOff>
    </xdr:to>
    <xdr:pic>
      <xdr:nvPicPr>
        <xdr:cNvPr id="22" name="Picture 12" descr="F.4_STIFF INSIDE_BF.png" hidden="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76825" y="29527500"/>
          <a:ext cx="1737360" cy="1969712"/>
        </a:xfrm>
        <a:prstGeom prst="rect">
          <a:avLst/>
        </a:prstGeom>
      </xdr:spPr>
    </xdr:pic>
    <xdr:clientData/>
  </xdr:twoCellAnchor>
  <xdr:twoCellAnchor editAs="oneCell">
    <xdr:from>
      <xdr:col>3</xdr:col>
      <xdr:colOff>492900</xdr:colOff>
      <xdr:row>101</xdr:row>
      <xdr:rowOff>54750</xdr:rowOff>
    </xdr:from>
    <xdr:to>
      <xdr:col>6</xdr:col>
      <xdr:colOff>230010</xdr:colOff>
      <xdr:row>113</xdr:row>
      <xdr:rowOff>160382</xdr:rowOff>
    </xdr:to>
    <xdr:pic>
      <xdr:nvPicPr>
        <xdr:cNvPr id="23" name="Picture 10" descr="F.4_STIFF INSIDE_GEO.png" hidden="1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778900" y="19219050"/>
          <a:ext cx="1737360" cy="2505932"/>
        </a:xfrm>
        <a:prstGeom prst="rect">
          <a:avLst/>
        </a:prstGeom>
      </xdr:spPr>
    </xdr:pic>
    <xdr:clientData/>
  </xdr:twoCellAnchor>
  <xdr:twoCellAnchor editAs="oneCell">
    <xdr:from>
      <xdr:col>7</xdr:col>
      <xdr:colOff>33300</xdr:colOff>
      <xdr:row>131</xdr:row>
      <xdr:rowOff>157126</xdr:rowOff>
    </xdr:from>
    <xdr:to>
      <xdr:col>9</xdr:col>
      <xdr:colOff>332385</xdr:colOff>
      <xdr:row>143</xdr:row>
      <xdr:rowOff>182201</xdr:rowOff>
    </xdr:to>
    <xdr:pic>
      <xdr:nvPicPr>
        <xdr:cNvPr id="24" name="Picture 11" descr="F.4_STIFF INSIDE_YIELD.png" hidden="1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929150" y="25293601"/>
          <a:ext cx="1737360" cy="2444425"/>
        </a:xfrm>
        <a:prstGeom prst="rect">
          <a:avLst/>
        </a:prstGeom>
      </xdr:spPr>
    </xdr:pic>
    <xdr:clientData/>
  </xdr:twoCellAnchor>
  <xdr:twoCellAnchor editAs="oneCell">
    <xdr:from>
      <xdr:col>7</xdr:col>
      <xdr:colOff>161925</xdr:colOff>
      <xdr:row>154</xdr:row>
      <xdr:rowOff>0</xdr:rowOff>
    </xdr:from>
    <xdr:to>
      <xdr:col>9</xdr:col>
      <xdr:colOff>461010</xdr:colOff>
      <xdr:row>162</xdr:row>
      <xdr:rowOff>124179</xdr:rowOff>
    </xdr:to>
    <xdr:pic>
      <xdr:nvPicPr>
        <xdr:cNvPr id="25" name="Picture 15" descr="E.4_UNSTIFFENED_BF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057775" y="29698950"/>
          <a:ext cx="1737360" cy="1676754"/>
        </a:xfrm>
        <a:prstGeom prst="rect">
          <a:avLst/>
        </a:prstGeom>
      </xdr:spPr>
    </xdr:pic>
    <xdr:clientData/>
  </xdr:twoCellAnchor>
  <xdr:twoCellAnchor editAs="oneCell">
    <xdr:from>
      <xdr:col>3</xdr:col>
      <xdr:colOff>464325</xdr:colOff>
      <xdr:row>101</xdr:row>
      <xdr:rowOff>102375</xdr:rowOff>
    </xdr:from>
    <xdr:to>
      <xdr:col>6</xdr:col>
      <xdr:colOff>201435</xdr:colOff>
      <xdr:row>113</xdr:row>
      <xdr:rowOff>69929</xdr:rowOff>
    </xdr:to>
    <xdr:pic>
      <xdr:nvPicPr>
        <xdr:cNvPr id="26" name="Picture 13" descr="E.4_UNSTIFFENED_GEO.png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750325" y="19266675"/>
          <a:ext cx="1737360" cy="2367854"/>
        </a:xfrm>
        <a:prstGeom prst="rect">
          <a:avLst/>
        </a:prstGeom>
      </xdr:spPr>
    </xdr:pic>
    <xdr:clientData/>
  </xdr:twoCellAnchor>
  <xdr:twoCellAnchor editAs="oneCell">
    <xdr:from>
      <xdr:col>6</xdr:col>
      <xdr:colOff>557175</xdr:colOff>
      <xdr:row>131</xdr:row>
      <xdr:rowOff>185700</xdr:rowOff>
    </xdr:from>
    <xdr:to>
      <xdr:col>9</xdr:col>
      <xdr:colOff>246660</xdr:colOff>
      <xdr:row>144</xdr:row>
      <xdr:rowOff>35893</xdr:rowOff>
    </xdr:to>
    <xdr:pic>
      <xdr:nvPicPr>
        <xdr:cNvPr id="27" name="Picture 14" descr="E.4_UNSTIFFENED_YIELD.png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843425" y="25322175"/>
          <a:ext cx="1737360" cy="2460043"/>
        </a:xfrm>
        <a:prstGeom prst="rect">
          <a:avLst/>
        </a:prstGeom>
      </xdr:spPr>
    </xdr:pic>
    <xdr:clientData/>
  </xdr:twoCellAnchor>
  <xdr:twoCellAnchor editAs="oneCell">
    <xdr:from>
      <xdr:col>7</xdr:col>
      <xdr:colOff>180975</xdr:colOff>
      <xdr:row>153</xdr:row>
      <xdr:rowOff>161925</xdr:rowOff>
    </xdr:from>
    <xdr:to>
      <xdr:col>9</xdr:col>
      <xdr:colOff>480060</xdr:colOff>
      <xdr:row>162</xdr:row>
      <xdr:rowOff>93877</xdr:rowOff>
    </xdr:to>
    <xdr:pic>
      <xdr:nvPicPr>
        <xdr:cNvPr id="28" name="Picture 19" descr="E.4_STIFFENED_BF.png" hidden="1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076825" y="29660850"/>
          <a:ext cx="1737360" cy="1684552"/>
        </a:xfrm>
        <a:prstGeom prst="rect">
          <a:avLst/>
        </a:prstGeom>
      </xdr:spPr>
    </xdr:pic>
    <xdr:clientData/>
  </xdr:twoCellAnchor>
  <xdr:twoCellAnchor editAs="oneCell">
    <xdr:from>
      <xdr:col>3</xdr:col>
      <xdr:colOff>502425</xdr:colOff>
      <xdr:row>101</xdr:row>
      <xdr:rowOff>102375</xdr:rowOff>
    </xdr:from>
    <xdr:to>
      <xdr:col>6</xdr:col>
      <xdr:colOff>239535</xdr:colOff>
      <xdr:row>113</xdr:row>
      <xdr:rowOff>189513</xdr:rowOff>
    </xdr:to>
    <xdr:pic>
      <xdr:nvPicPr>
        <xdr:cNvPr id="29" name="Picture 16" descr="E.4_STIFFENED_GEO.png" hidden="1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788425" y="19266675"/>
          <a:ext cx="1737360" cy="2487438"/>
        </a:xfrm>
        <a:prstGeom prst="rect">
          <a:avLst/>
        </a:prstGeom>
      </xdr:spPr>
    </xdr:pic>
    <xdr:clientData/>
  </xdr:twoCellAnchor>
  <xdr:twoCellAnchor editAs="oneCell">
    <xdr:from>
      <xdr:col>6</xdr:col>
      <xdr:colOff>566700</xdr:colOff>
      <xdr:row>132</xdr:row>
      <xdr:rowOff>33300</xdr:rowOff>
    </xdr:from>
    <xdr:to>
      <xdr:col>9</xdr:col>
      <xdr:colOff>256185</xdr:colOff>
      <xdr:row>143</xdr:row>
      <xdr:rowOff>59472</xdr:rowOff>
    </xdr:to>
    <xdr:pic>
      <xdr:nvPicPr>
        <xdr:cNvPr id="30" name="Picture 18" descr="E.4_STIFFENED_YIELD_S greater de.png" hidden="1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4852950" y="25360275"/>
          <a:ext cx="1737360" cy="2255022"/>
        </a:xfrm>
        <a:prstGeom prst="rect">
          <a:avLst/>
        </a:prstGeom>
      </xdr:spPr>
    </xdr:pic>
    <xdr:clientData/>
  </xdr:twoCellAnchor>
  <xdr:twoCellAnchor editAs="oneCell">
    <xdr:from>
      <xdr:col>6</xdr:col>
      <xdr:colOff>526200</xdr:colOff>
      <xdr:row>132</xdr:row>
      <xdr:rowOff>11850</xdr:rowOff>
    </xdr:from>
    <xdr:to>
      <xdr:col>9</xdr:col>
      <xdr:colOff>215685</xdr:colOff>
      <xdr:row>143</xdr:row>
      <xdr:rowOff>86466</xdr:rowOff>
    </xdr:to>
    <xdr:pic>
      <xdr:nvPicPr>
        <xdr:cNvPr id="31" name="Picture 17" descr="E.4_STIFFENED_YIELD_S lesser de.png" hidden="1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812450" y="25338825"/>
          <a:ext cx="1737360" cy="2303466"/>
        </a:xfrm>
        <a:prstGeom prst="rect">
          <a:avLst/>
        </a:prstGeom>
      </xdr:spPr>
    </xdr:pic>
    <xdr:clientData/>
  </xdr:twoCellAnchor>
  <xdr:twoCellAnchor editAs="oneCell">
    <xdr:from>
      <xdr:col>6</xdr:col>
      <xdr:colOff>485775</xdr:colOff>
      <xdr:row>154</xdr:row>
      <xdr:rowOff>57151</xdr:rowOff>
    </xdr:from>
    <xdr:to>
      <xdr:col>9</xdr:col>
      <xdr:colOff>175260</xdr:colOff>
      <xdr:row>162</xdr:row>
      <xdr:rowOff>151553</xdr:rowOff>
    </xdr:to>
    <xdr:pic>
      <xdr:nvPicPr>
        <xdr:cNvPr id="32" name="Picture 22" descr="E.6_UNSTIFFENED_BF.png" hidden="1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772025" y="29756101"/>
          <a:ext cx="1737360" cy="1646977"/>
        </a:xfrm>
        <a:prstGeom prst="rect">
          <a:avLst/>
        </a:prstGeom>
      </xdr:spPr>
    </xdr:pic>
    <xdr:clientData/>
  </xdr:twoCellAnchor>
  <xdr:twoCellAnchor editAs="oneCell">
    <xdr:from>
      <xdr:col>3</xdr:col>
      <xdr:colOff>426225</xdr:colOff>
      <xdr:row>101</xdr:row>
      <xdr:rowOff>83325</xdr:rowOff>
    </xdr:from>
    <xdr:to>
      <xdr:col>6</xdr:col>
      <xdr:colOff>163335</xdr:colOff>
      <xdr:row>113</xdr:row>
      <xdr:rowOff>64889</xdr:rowOff>
    </xdr:to>
    <xdr:pic>
      <xdr:nvPicPr>
        <xdr:cNvPr id="33" name="Picture 20" descr="E.6_UNSTIFFENED_GEO.png" hidden="1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712225" y="19247625"/>
          <a:ext cx="1737360" cy="2381864"/>
        </a:xfrm>
        <a:prstGeom prst="rect">
          <a:avLst/>
        </a:prstGeom>
      </xdr:spPr>
    </xdr:pic>
    <xdr:clientData/>
  </xdr:twoCellAnchor>
  <xdr:twoCellAnchor editAs="oneCell">
    <xdr:from>
      <xdr:col>6</xdr:col>
      <xdr:colOff>538125</xdr:colOff>
      <xdr:row>131</xdr:row>
      <xdr:rowOff>80925</xdr:rowOff>
    </xdr:from>
    <xdr:to>
      <xdr:col>9</xdr:col>
      <xdr:colOff>227610</xdr:colOff>
      <xdr:row>143</xdr:row>
      <xdr:rowOff>55575</xdr:rowOff>
    </xdr:to>
    <xdr:pic>
      <xdr:nvPicPr>
        <xdr:cNvPr id="34" name="Picture 21" descr="E.6_UNSTIFFENED_YIELD.png" hidden="1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824375" y="25217400"/>
          <a:ext cx="1737360" cy="2394000"/>
        </a:xfrm>
        <a:prstGeom prst="rect">
          <a:avLst/>
        </a:prstGeom>
      </xdr:spPr>
    </xdr:pic>
    <xdr:clientData/>
  </xdr:twoCellAnchor>
  <xdr:twoCellAnchor editAs="oneCell">
    <xdr:from>
      <xdr:col>6</xdr:col>
      <xdr:colOff>180975</xdr:colOff>
      <xdr:row>154</xdr:row>
      <xdr:rowOff>161926</xdr:rowOff>
    </xdr:from>
    <xdr:to>
      <xdr:col>8</xdr:col>
      <xdr:colOff>480060</xdr:colOff>
      <xdr:row>162</xdr:row>
      <xdr:rowOff>168280</xdr:rowOff>
    </xdr:to>
    <xdr:pic>
      <xdr:nvPicPr>
        <xdr:cNvPr id="35" name="Picture 25" descr="E.8_UNSTIFFENED_BF.png" hidden="1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467225" y="29860876"/>
          <a:ext cx="1737360" cy="1558929"/>
        </a:xfrm>
        <a:prstGeom prst="rect">
          <a:avLst/>
        </a:prstGeom>
      </xdr:spPr>
    </xdr:pic>
    <xdr:clientData/>
  </xdr:twoCellAnchor>
  <xdr:twoCellAnchor editAs="oneCell">
    <xdr:from>
      <xdr:col>3</xdr:col>
      <xdr:colOff>435750</xdr:colOff>
      <xdr:row>101</xdr:row>
      <xdr:rowOff>111900</xdr:rowOff>
    </xdr:from>
    <xdr:to>
      <xdr:col>6</xdr:col>
      <xdr:colOff>172860</xdr:colOff>
      <xdr:row>113</xdr:row>
      <xdr:rowOff>130709</xdr:rowOff>
    </xdr:to>
    <xdr:pic>
      <xdr:nvPicPr>
        <xdr:cNvPr id="36" name="Picture 23" descr="E.8_UNSTIFFENED_GEO.png" hidden="1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721750" y="19276200"/>
          <a:ext cx="1737360" cy="2419109"/>
        </a:xfrm>
        <a:prstGeom prst="rect">
          <a:avLst/>
        </a:prstGeom>
      </xdr:spPr>
    </xdr:pic>
    <xdr:clientData/>
  </xdr:twoCellAnchor>
  <xdr:twoCellAnchor editAs="oneCell">
    <xdr:from>
      <xdr:col>6</xdr:col>
      <xdr:colOff>566700</xdr:colOff>
      <xdr:row>131</xdr:row>
      <xdr:rowOff>109500</xdr:rowOff>
    </xdr:from>
    <xdr:to>
      <xdr:col>9</xdr:col>
      <xdr:colOff>256185</xdr:colOff>
      <xdr:row>143</xdr:row>
      <xdr:rowOff>8965</xdr:rowOff>
    </xdr:to>
    <xdr:pic>
      <xdr:nvPicPr>
        <xdr:cNvPr id="37" name="Picture 24" descr="E.8_UNSTIFFENED_YIELD.png" hidden="1"/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852950" y="25245975"/>
          <a:ext cx="1737360" cy="2318815"/>
        </a:xfrm>
        <a:prstGeom prst="rect">
          <a:avLst/>
        </a:prstGeom>
      </xdr:spPr>
    </xdr:pic>
    <xdr:clientData/>
  </xdr:twoCellAnchor>
  <xdr:twoCellAnchor editAs="oneCell">
    <xdr:from>
      <xdr:col>6</xdr:col>
      <xdr:colOff>323850</xdr:colOff>
      <xdr:row>155</xdr:row>
      <xdr:rowOff>38101</xdr:rowOff>
    </xdr:from>
    <xdr:to>
      <xdr:col>9</xdr:col>
      <xdr:colOff>13335</xdr:colOff>
      <xdr:row>163</xdr:row>
      <xdr:rowOff>54438</xdr:rowOff>
    </xdr:to>
    <xdr:pic>
      <xdr:nvPicPr>
        <xdr:cNvPr id="38" name="Picture 29" descr="E.8_STIFFENED_BF.png" hidden="1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610100" y="29937076"/>
          <a:ext cx="1737360" cy="1559387"/>
        </a:xfrm>
        <a:prstGeom prst="rect">
          <a:avLst/>
        </a:prstGeom>
      </xdr:spPr>
    </xdr:pic>
    <xdr:clientData/>
  </xdr:twoCellAnchor>
  <xdr:twoCellAnchor editAs="oneCell">
    <xdr:from>
      <xdr:col>3</xdr:col>
      <xdr:colOff>311925</xdr:colOff>
      <xdr:row>101</xdr:row>
      <xdr:rowOff>54751</xdr:rowOff>
    </xdr:from>
    <xdr:to>
      <xdr:col>6</xdr:col>
      <xdr:colOff>49035</xdr:colOff>
      <xdr:row>113</xdr:row>
      <xdr:rowOff>192676</xdr:rowOff>
    </xdr:to>
    <xdr:pic>
      <xdr:nvPicPr>
        <xdr:cNvPr id="39" name="Picture 26" descr="E.8_STIFFENED_GEO.png" hidden="1"/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7925" y="19219051"/>
          <a:ext cx="1737360" cy="2538225"/>
        </a:xfrm>
        <a:prstGeom prst="rect">
          <a:avLst/>
        </a:prstGeom>
      </xdr:spPr>
    </xdr:pic>
    <xdr:clientData/>
  </xdr:twoCellAnchor>
  <xdr:twoCellAnchor editAs="oneCell">
    <xdr:from>
      <xdr:col>6</xdr:col>
      <xdr:colOff>576225</xdr:colOff>
      <xdr:row>132</xdr:row>
      <xdr:rowOff>4725</xdr:rowOff>
    </xdr:from>
    <xdr:to>
      <xdr:col>9</xdr:col>
      <xdr:colOff>265710</xdr:colOff>
      <xdr:row>142</xdr:row>
      <xdr:rowOff>119025</xdr:rowOff>
    </xdr:to>
    <xdr:pic>
      <xdr:nvPicPr>
        <xdr:cNvPr id="40" name="Picture 28" descr="E.8_UNSTIFFENED_YIELD_S GREATER de.png" hidden="1"/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4862475" y="25331700"/>
          <a:ext cx="1737360" cy="2114550"/>
        </a:xfrm>
        <a:prstGeom prst="rect">
          <a:avLst/>
        </a:prstGeom>
      </xdr:spPr>
    </xdr:pic>
    <xdr:clientData/>
  </xdr:twoCellAnchor>
  <xdr:twoCellAnchor editAs="oneCell">
    <xdr:from>
      <xdr:col>6</xdr:col>
      <xdr:colOff>450000</xdr:colOff>
      <xdr:row>131</xdr:row>
      <xdr:rowOff>126150</xdr:rowOff>
    </xdr:from>
    <xdr:to>
      <xdr:col>9</xdr:col>
      <xdr:colOff>139485</xdr:colOff>
      <xdr:row>141</xdr:row>
      <xdr:rowOff>193110</xdr:rowOff>
    </xdr:to>
    <xdr:pic>
      <xdr:nvPicPr>
        <xdr:cNvPr id="41" name="Picture 27" descr="E.8_UNSTIFFENED_YIELD_S LESSER de.png" hidden="1"/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4736250" y="25262625"/>
          <a:ext cx="1737360" cy="20576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C00000"/>
  </sheetPr>
  <dimension ref="A1:W177"/>
  <sheetViews>
    <sheetView tabSelected="1" view="pageBreakPreview" topLeftCell="A73" zoomScaleNormal="115" zoomScaleSheetLayoutView="100" workbookViewId="0">
      <selection activeCell="C98" sqref="C98"/>
    </sheetView>
  </sheetViews>
  <sheetFormatPr defaultRowHeight="15"/>
  <cols>
    <col min="2" max="2" width="12.28515625" customWidth="1"/>
    <col min="3" max="3" width="12.85546875" customWidth="1"/>
    <col min="5" max="5" width="13" bestFit="1" customWidth="1"/>
    <col min="6" max="6" width="7.85546875" customWidth="1"/>
    <col min="8" max="8" width="12.42578125" customWidth="1"/>
    <col min="12" max="14" width="9.28515625" bestFit="1" customWidth="1"/>
    <col min="16" max="16" width="9.28515625" bestFit="1" customWidth="1"/>
    <col min="17" max="17" width="10.5703125" bestFit="1" customWidth="1"/>
    <col min="22" max="22" width="12.28515625" customWidth="1"/>
    <col min="23" max="23" width="12.5703125" customWidth="1"/>
  </cols>
  <sheetData>
    <row r="1" spans="1:10">
      <c r="A1" s="1"/>
      <c r="B1" s="2"/>
      <c r="C1" s="2"/>
      <c r="D1" s="2"/>
      <c r="E1" s="2"/>
      <c r="F1" s="2"/>
      <c r="G1" s="2"/>
      <c r="H1" s="2"/>
      <c r="I1" s="5"/>
      <c r="J1" s="6"/>
    </row>
    <row r="2" spans="1:10">
      <c r="A2" s="3"/>
      <c r="B2" s="4"/>
      <c r="C2" s="4"/>
      <c r="D2" s="4"/>
      <c r="E2" s="4"/>
      <c r="F2" s="4"/>
      <c r="G2" s="4"/>
      <c r="H2" s="4"/>
      <c r="I2" s="28"/>
      <c r="J2" s="7"/>
    </row>
    <row r="3" spans="1:10">
      <c r="A3" s="3"/>
      <c r="B3" s="4"/>
      <c r="C3" s="4"/>
      <c r="D3" s="4"/>
      <c r="E3" s="4"/>
      <c r="F3" s="4"/>
      <c r="G3" s="4"/>
      <c r="H3" s="4"/>
      <c r="I3" s="28"/>
      <c r="J3" s="7"/>
    </row>
    <row r="4" spans="1:10" ht="15.75" thickBot="1">
      <c r="A4" s="3"/>
      <c r="B4" s="4"/>
      <c r="C4" s="4"/>
      <c r="D4" s="4"/>
      <c r="E4" s="4"/>
      <c r="F4" s="4"/>
      <c r="G4" s="4"/>
      <c r="H4" s="4"/>
      <c r="I4" s="28"/>
      <c r="J4" s="7"/>
    </row>
    <row r="5" spans="1:10" ht="16.5">
      <c r="A5" s="92" t="s">
        <v>139</v>
      </c>
      <c r="B5" s="93"/>
      <c r="C5" s="93"/>
      <c r="D5" s="93"/>
      <c r="E5" s="93"/>
      <c r="F5" s="93"/>
      <c r="G5" s="93"/>
      <c r="H5" s="93"/>
      <c r="I5" s="93"/>
      <c r="J5" s="69"/>
    </row>
    <row r="6" spans="1:10" ht="18">
      <c r="A6" s="71" t="s">
        <v>0</v>
      </c>
      <c r="B6" s="94" t="s">
        <v>1</v>
      </c>
      <c r="C6" s="94"/>
      <c r="D6" s="94"/>
      <c r="E6" s="94"/>
      <c r="F6" s="94"/>
      <c r="G6" s="94"/>
      <c r="H6" s="65"/>
      <c r="I6" s="65"/>
      <c r="J6" s="70"/>
    </row>
    <row r="7" spans="1:10" ht="16.5">
      <c r="A7" s="71" t="s">
        <v>2</v>
      </c>
      <c r="B7" s="99">
        <v>40382</v>
      </c>
      <c r="C7" s="99"/>
      <c r="D7" s="66" t="s">
        <v>3</v>
      </c>
      <c r="E7" s="67" t="s">
        <v>4</v>
      </c>
      <c r="F7" s="64" t="s">
        <v>5</v>
      </c>
      <c r="G7" s="67" t="s">
        <v>6</v>
      </c>
      <c r="H7" s="64" t="s">
        <v>7</v>
      </c>
      <c r="I7" s="68" t="s">
        <v>6</v>
      </c>
      <c r="J7" s="72"/>
    </row>
    <row r="8" spans="1:10" ht="19.5" customHeight="1">
      <c r="A8" s="73" t="s">
        <v>8</v>
      </c>
      <c r="B8" s="100" t="s">
        <v>9</v>
      </c>
      <c r="C8" s="100"/>
      <c r="D8" s="100"/>
      <c r="E8" s="100"/>
      <c r="F8" s="100"/>
      <c r="G8" s="100"/>
      <c r="H8" s="100"/>
      <c r="I8" s="100"/>
      <c r="J8" s="101"/>
    </row>
    <row r="9" spans="1:10">
      <c r="A9" s="95" t="s">
        <v>10</v>
      </c>
      <c r="B9" s="96"/>
      <c r="C9" s="63" t="s">
        <v>11</v>
      </c>
      <c r="D9" s="63" t="s">
        <v>12</v>
      </c>
      <c r="E9" s="96" t="s">
        <v>13</v>
      </c>
      <c r="F9" s="96"/>
      <c r="G9" s="96"/>
      <c r="H9" s="96"/>
      <c r="I9" s="96"/>
      <c r="J9" s="102"/>
    </row>
    <row r="10" spans="1:10" ht="15.75" thickBot="1">
      <c r="A10" s="97">
        <v>1001</v>
      </c>
      <c r="B10" s="98"/>
      <c r="C10" s="74">
        <v>500</v>
      </c>
      <c r="D10" s="75">
        <v>8</v>
      </c>
      <c r="E10" s="103" t="s">
        <v>14</v>
      </c>
      <c r="F10" s="103"/>
      <c r="G10" s="103"/>
      <c r="H10" s="103"/>
      <c r="I10" s="103"/>
      <c r="J10" s="104"/>
    </row>
    <row r="11" spans="1:10" ht="16.5">
      <c r="A11" s="8" t="s">
        <v>237</v>
      </c>
      <c r="B11" s="4"/>
      <c r="C11" s="4"/>
      <c r="D11" s="4"/>
      <c r="E11" s="4"/>
      <c r="F11" s="4"/>
      <c r="G11" s="4"/>
      <c r="H11" s="4"/>
      <c r="I11" s="4"/>
      <c r="J11" s="7"/>
    </row>
    <row r="12" spans="1:10">
      <c r="A12" s="62" t="s">
        <v>15</v>
      </c>
      <c r="B12" s="4"/>
      <c r="C12" s="4"/>
      <c r="D12" s="4"/>
      <c r="E12" s="4"/>
      <c r="F12" s="4"/>
      <c r="G12" s="4"/>
      <c r="H12" s="4"/>
      <c r="I12" s="4"/>
      <c r="J12" s="7"/>
    </row>
    <row r="13" spans="1:10">
      <c r="A13" s="9" t="s">
        <v>242</v>
      </c>
      <c r="B13" s="4"/>
      <c r="C13" s="4"/>
      <c r="D13" s="4"/>
      <c r="E13" s="4"/>
      <c r="F13" s="4"/>
      <c r="G13" s="4"/>
      <c r="H13" s="4"/>
      <c r="I13" s="4"/>
      <c r="J13" s="7"/>
    </row>
    <row r="14" spans="1:10">
      <c r="A14" s="9" t="s">
        <v>233</v>
      </c>
      <c r="B14" s="4"/>
      <c r="C14" s="4"/>
      <c r="D14" s="4"/>
      <c r="E14" s="4"/>
      <c r="F14" s="4"/>
      <c r="G14" s="4"/>
      <c r="H14" s="4"/>
      <c r="I14" s="4"/>
      <c r="J14" s="7"/>
    </row>
    <row r="15" spans="1:10">
      <c r="A15" s="9" t="s">
        <v>234</v>
      </c>
      <c r="B15" s="4"/>
      <c r="C15" s="4"/>
      <c r="D15" s="4"/>
      <c r="E15" s="4"/>
      <c r="F15" s="4"/>
      <c r="G15" s="4"/>
      <c r="H15" s="4"/>
      <c r="I15" s="4"/>
      <c r="J15" s="7"/>
    </row>
    <row r="16" spans="1:10">
      <c r="A16" s="9" t="s">
        <v>235</v>
      </c>
      <c r="B16" s="4"/>
      <c r="C16" s="4"/>
      <c r="D16" s="4"/>
      <c r="E16" s="4"/>
      <c r="F16" s="4"/>
      <c r="G16" s="4"/>
      <c r="H16" s="4"/>
      <c r="I16" s="4"/>
      <c r="J16" s="7"/>
    </row>
    <row r="17" spans="1:10">
      <c r="A17" s="9" t="s">
        <v>236</v>
      </c>
      <c r="B17" s="4"/>
      <c r="C17" s="4"/>
      <c r="D17" s="4"/>
      <c r="E17" s="4"/>
      <c r="F17" s="4"/>
      <c r="G17" s="4"/>
      <c r="H17" s="4"/>
      <c r="I17" s="4"/>
      <c r="J17" s="7"/>
    </row>
    <row r="18" spans="1:10">
      <c r="A18" s="9" t="s">
        <v>241</v>
      </c>
      <c r="B18" s="4"/>
      <c r="C18" s="4"/>
      <c r="D18" s="4"/>
      <c r="E18" s="4"/>
      <c r="F18" s="4"/>
      <c r="G18" s="4"/>
      <c r="H18" s="4"/>
      <c r="I18" s="4"/>
      <c r="J18" s="7"/>
    </row>
    <row r="19" spans="1:10">
      <c r="A19" s="9" t="s">
        <v>238</v>
      </c>
      <c r="B19" s="4"/>
      <c r="C19" s="4"/>
      <c r="D19" s="4"/>
      <c r="E19" s="4"/>
      <c r="F19" s="4"/>
      <c r="G19" s="4"/>
      <c r="H19" s="4"/>
      <c r="I19" s="4"/>
      <c r="J19" s="7"/>
    </row>
    <row r="20" spans="1:10">
      <c r="A20" s="9" t="s">
        <v>239</v>
      </c>
      <c r="B20" s="4"/>
      <c r="C20" s="4"/>
      <c r="D20" s="4"/>
      <c r="E20" s="4"/>
      <c r="F20" s="4"/>
      <c r="G20" s="4"/>
      <c r="H20" s="4"/>
      <c r="I20" s="4"/>
      <c r="J20" s="7"/>
    </row>
    <row r="21" spans="1:10">
      <c r="A21" s="9" t="s">
        <v>240</v>
      </c>
      <c r="B21" s="4"/>
      <c r="C21" s="4"/>
      <c r="D21" s="4"/>
      <c r="E21" s="4"/>
      <c r="F21" s="4"/>
      <c r="G21" s="4"/>
      <c r="H21" s="4"/>
      <c r="I21" s="4"/>
      <c r="J21" s="7"/>
    </row>
    <row r="22" spans="1:10">
      <c r="A22" s="9" t="s">
        <v>225</v>
      </c>
      <c r="B22" s="4"/>
      <c r="C22" s="4"/>
      <c r="D22" s="4"/>
      <c r="E22" s="4"/>
      <c r="F22" s="4"/>
      <c r="G22" s="4"/>
      <c r="H22" s="4"/>
      <c r="I22" s="4"/>
      <c r="J22" s="7"/>
    </row>
    <row r="23" spans="1:10">
      <c r="A23" s="9" t="s">
        <v>226</v>
      </c>
      <c r="B23" s="4"/>
      <c r="C23" s="4"/>
      <c r="D23" s="4"/>
      <c r="E23" s="4"/>
      <c r="F23" s="4"/>
      <c r="G23" s="4"/>
      <c r="H23" s="4"/>
      <c r="I23" s="4"/>
      <c r="J23" s="7"/>
    </row>
    <row r="24" spans="1:10">
      <c r="A24" s="9" t="s">
        <v>253</v>
      </c>
      <c r="B24" s="4"/>
      <c r="C24" s="4"/>
      <c r="D24" s="4"/>
      <c r="E24" s="4"/>
      <c r="F24" s="4"/>
      <c r="G24" s="4"/>
      <c r="H24" s="4"/>
      <c r="I24" s="4"/>
      <c r="J24" s="7"/>
    </row>
    <row r="25" spans="1:10">
      <c r="A25" s="9" t="s">
        <v>254</v>
      </c>
      <c r="B25" s="4"/>
      <c r="C25" s="4"/>
      <c r="D25" s="4"/>
      <c r="E25" s="4"/>
      <c r="F25" s="4"/>
      <c r="G25" s="4"/>
      <c r="H25" s="4"/>
      <c r="I25" s="4"/>
      <c r="J25" s="7"/>
    </row>
    <row r="26" spans="1:10">
      <c r="A26" s="9" t="s">
        <v>244</v>
      </c>
      <c r="B26" s="4"/>
      <c r="C26" s="4"/>
      <c r="D26" s="4"/>
      <c r="E26" s="4"/>
      <c r="F26" s="4"/>
      <c r="G26" s="4"/>
      <c r="H26" s="4"/>
      <c r="I26" s="4"/>
      <c r="J26" s="7"/>
    </row>
    <row r="27" spans="1:10">
      <c r="A27" s="9" t="s">
        <v>245</v>
      </c>
      <c r="B27" s="4"/>
      <c r="C27" s="4"/>
      <c r="D27" s="4"/>
      <c r="E27" s="4"/>
      <c r="F27" s="4"/>
      <c r="G27" s="4"/>
      <c r="H27" s="4"/>
      <c r="I27" s="4"/>
      <c r="J27" s="7"/>
    </row>
    <row r="28" spans="1:10">
      <c r="A28" s="9" t="s">
        <v>246</v>
      </c>
      <c r="B28" s="4"/>
      <c r="C28" s="4"/>
      <c r="D28" s="4"/>
      <c r="E28" s="4"/>
      <c r="F28" s="4"/>
      <c r="G28" s="4"/>
      <c r="H28" s="4"/>
      <c r="I28" s="4"/>
      <c r="J28" s="7"/>
    </row>
    <row r="29" spans="1:10">
      <c r="A29" s="9" t="s">
        <v>247</v>
      </c>
      <c r="B29" s="4"/>
      <c r="C29" s="4"/>
      <c r="D29" s="4"/>
      <c r="E29" s="4"/>
      <c r="F29" s="4"/>
      <c r="G29" s="4"/>
      <c r="H29" s="4"/>
      <c r="I29" s="4"/>
      <c r="J29" s="7"/>
    </row>
    <row r="30" spans="1:10">
      <c r="A30" s="9" t="s">
        <v>248</v>
      </c>
      <c r="B30" s="4"/>
      <c r="C30" s="4"/>
      <c r="D30" s="4"/>
      <c r="E30" s="4"/>
      <c r="F30" s="4"/>
      <c r="G30" s="4"/>
      <c r="H30" s="4"/>
      <c r="I30" s="4"/>
      <c r="J30" s="7"/>
    </row>
    <row r="31" spans="1:10">
      <c r="A31" s="9" t="s">
        <v>249</v>
      </c>
      <c r="B31" s="4"/>
      <c r="C31" s="4"/>
      <c r="D31" s="4"/>
      <c r="E31" s="4"/>
      <c r="F31" s="4"/>
      <c r="G31" s="4"/>
      <c r="H31" s="4"/>
      <c r="I31" s="4"/>
      <c r="J31" s="7"/>
    </row>
    <row r="32" spans="1:10">
      <c r="A32" s="9" t="s">
        <v>250</v>
      </c>
      <c r="B32" s="4"/>
      <c r="C32" s="4"/>
      <c r="D32" s="4"/>
      <c r="E32" s="4"/>
      <c r="F32" s="4"/>
      <c r="G32" s="4"/>
      <c r="H32" s="4"/>
      <c r="I32" s="4"/>
      <c r="J32" s="7"/>
    </row>
    <row r="33" spans="1:10">
      <c r="A33" s="9" t="s">
        <v>251</v>
      </c>
      <c r="B33" s="4"/>
      <c r="C33" s="4"/>
      <c r="D33" s="4"/>
      <c r="E33" s="4"/>
      <c r="F33" s="4"/>
      <c r="G33" s="4"/>
      <c r="H33" s="4"/>
      <c r="I33" s="4"/>
      <c r="J33" s="7"/>
    </row>
    <row r="34" spans="1:10">
      <c r="A34" s="9" t="s">
        <v>252</v>
      </c>
      <c r="B34" s="4"/>
      <c r="C34" s="4"/>
      <c r="D34" s="4"/>
      <c r="E34" s="4"/>
      <c r="F34" s="4"/>
      <c r="G34" s="4"/>
      <c r="H34" s="4"/>
      <c r="I34" s="4"/>
      <c r="J34" s="7"/>
    </row>
    <row r="35" spans="1:10">
      <c r="A35" s="9" t="s">
        <v>219</v>
      </c>
      <c r="B35" s="4"/>
      <c r="C35" s="4"/>
      <c r="D35" s="4"/>
      <c r="E35" s="4"/>
      <c r="F35" s="4"/>
      <c r="G35" s="4"/>
      <c r="H35" s="4"/>
      <c r="I35" s="4"/>
      <c r="J35" s="7"/>
    </row>
    <row r="36" spans="1:10">
      <c r="A36" s="9" t="s">
        <v>231</v>
      </c>
      <c r="B36" s="4"/>
      <c r="C36" s="4"/>
      <c r="D36" s="4"/>
      <c r="E36" s="4"/>
      <c r="F36" s="4"/>
      <c r="G36" s="4"/>
      <c r="H36" s="4"/>
      <c r="I36" s="4"/>
      <c r="J36" s="7"/>
    </row>
    <row r="37" spans="1:10">
      <c r="A37" s="9" t="s">
        <v>232</v>
      </c>
      <c r="B37" s="4"/>
      <c r="C37" s="4"/>
      <c r="D37" s="4"/>
      <c r="E37" s="4"/>
      <c r="F37" s="4"/>
      <c r="G37" s="4"/>
      <c r="H37" s="4"/>
      <c r="I37" s="4"/>
      <c r="J37" s="7"/>
    </row>
    <row r="38" spans="1:10">
      <c r="A38" s="9" t="s">
        <v>221</v>
      </c>
      <c r="B38" s="4"/>
      <c r="C38" s="4"/>
      <c r="D38" s="4"/>
      <c r="E38" s="4"/>
      <c r="F38" s="4"/>
      <c r="G38" s="4"/>
      <c r="H38" s="4"/>
      <c r="I38" s="4"/>
      <c r="J38" s="7"/>
    </row>
    <row r="39" spans="1:10">
      <c r="A39" s="9" t="s">
        <v>222</v>
      </c>
      <c r="B39" s="4"/>
      <c r="C39" s="4"/>
      <c r="D39" s="4"/>
      <c r="E39" s="4"/>
      <c r="F39" s="4"/>
      <c r="G39" s="4"/>
      <c r="H39" s="4"/>
      <c r="I39" s="4"/>
      <c r="J39" s="7"/>
    </row>
    <row r="40" spans="1:10">
      <c r="A40" s="9" t="s">
        <v>224</v>
      </c>
      <c r="B40" s="4"/>
      <c r="C40" s="4"/>
      <c r="D40" s="4"/>
      <c r="E40" s="4"/>
      <c r="F40" s="4"/>
      <c r="G40" s="4"/>
      <c r="H40" s="4"/>
      <c r="I40" s="4"/>
      <c r="J40" s="7"/>
    </row>
    <row r="41" spans="1:10">
      <c r="A41" s="9" t="s">
        <v>227</v>
      </c>
      <c r="B41" s="4"/>
      <c r="C41" s="4"/>
      <c r="D41" s="4"/>
      <c r="E41" s="4"/>
      <c r="F41" s="4"/>
      <c r="G41" s="4"/>
      <c r="H41" s="4"/>
      <c r="I41" s="4"/>
      <c r="J41" s="7"/>
    </row>
    <row r="42" spans="1:10">
      <c r="A42" s="9" t="s">
        <v>228</v>
      </c>
      <c r="B42" s="4"/>
      <c r="C42" s="4"/>
      <c r="D42" s="4"/>
      <c r="E42" s="4"/>
      <c r="F42" s="4"/>
      <c r="G42" s="4"/>
      <c r="H42" s="4"/>
      <c r="I42" s="4"/>
      <c r="J42" s="7"/>
    </row>
    <row r="43" spans="1:10">
      <c r="A43" s="9" t="s">
        <v>229</v>
      </c>
      <c r="B43" s="4"/>
      <c r="C43" s="4"/>
      <c r="D43" s="4"/>
      <c r="E43" s="4"/>
      <c r="F43" s="4"/>
      <c r="G43" s="4"/>
      <c r="H43" s="4"/>
      <c r="I43" s="4"/>
      <c r="J43" s="7"/>
    </row>
    <row r="44" spans="1:10">
      <c r="A44" s="9" t="s">
        <v>230</v>
      </c>
      <c r="B44" s="4"/>
      <c r="C44" s="4"/>
      <c r="D44" s="4"/>
      <c r="E44" s="4"/>
      <c r="F44" s="4"/>
      <c r="G44" s="4"/>
      <c r="H44" s="4"/>
      <c r="I44" s="4"/>
      <c r="J44" s="7"/>
    </row>
    <row r="45" spans="1:10">
      <c r="A45" s="9" t="s">
        <v>204</v>
      </c>
      <c r="B45" s="4"/>
      <c r="C45" s="4"/>
      <c r="D45" s="4"/>
      <c r="E45" s="4"/>
      <c r="F45" s="4"/>
      <c r="G45" s="4"/>
      <c r="H45" s="4"/>
      <c r="I45" s="4"/>
      <c r="J45" s="7"/>
    </row>
    <row r="46" spans="1:10">
      <c r="A46" s="9" t="s">
        <v>220</v>
      </c>
      <c r="B46" s="4"/>
      <c r="C46" s="4"/>
      <c r="D46" s="4"/>
      <c r="E46" s="4"/>
      <c r="F46" s="4"/>
      <c r="G46" s="4"/>
      <c r="H46" s="4"/>
      <c r="I46" s="4"/>
      <c r="J46" s="7"/>
    </row>
    <row r="47" spans="1:10">
      <c r="A47" s="9" t="s">
        <v>243</v>
      </c>
      <c r="B47" s="4"/>
      <c r="C47" s="4"/>
      <c r="D47" s="4"/>
      <c r="E47" s="4"/>
      <c r="F47" s="4"/>
      <c r="G47" s="4"/>
      <c r="H47" s="4"/>
      <c r="I47" s="4"/>
      <c r="J47" s="7"/>
    </row>
    <row r="48" spans="1:10">
      <c r="A48" s="55" t="s">
        <v>223</v>
      </c>
      <c r="B48" s="4"/>
      <c r="C48" s="4"/>
      <c r="D48" s="4"/>
      <c r="E48" s="4"/>
      <c r="F48" s="4"/>
      <c r="G48" s="4"/>
      <c r="H48" s="4"/>
      <c r="I48" s="4"/>
      <c r="J48" s="7"/>
    </row>
    <row r="49" spans="1:23">
      <c r="A49" s="57" t="s">
        <v>205</v>
      </c>
      <c r="B49" s="4"/>
      <c r="C49" s="4"/>
      <c r="D49" s="4"/>
      <c r="E49" s="4"/>
      <c r="F49" s="4"/>
      <c r="G49" s="4"/>
      <c r="H49" s="4"/>
      <c r="I49" s="4"/>
      <c r="J49" s="7"/>
    </row>
    <row r="50" spans="1:23">
      <c r="A50" s="55"/>
      <c r="B50" s="56" t="s">
        <v>206</v>
      </c>
      <c r="C50" s="4"/>
      <c r="D50" s="4"/>
      <c r="E50" s="4"/>
      <c r="F50" s="4"/>
      <c r="G50" s="4"/>
      <c r="H50" s="4"/>
      <c r="I50" s="4"/>
      <c r="J50" s="7"/>
    </row>
    <row r="51" spans="1:23">
      <c r="A51" s="55"/>
      <c r="B51" s="56" t="s">
        <v>207</v>
      </c>
      <c r="C51" s="4"/>
      <c r="D51" s="4"/>
      <c r="E51" s="4"/>
      <c r="F51" s="4"/>
      <c r="G51" s="4"/>
      <c r="H51" s="4"/>
      <c r="I51" s="4"/>
      <c r="J51" s="7"/>
    </row>
    <row r="52" spans="1:23">
      <c r="A52" s="55"/>
      <c r="B52" s="56" t="s">
        <v>208</v>
      </c>
      <c r="C52" s="4"/>
      <c r="D52" s="4"/>
      <c r="E52" s="4"/>
      <c r="F52" s="4"/>
      <c r="G52" s="4"/>
      <c r="H52" s="4"/>
      <c r="I52" s="4"/>
      <c r="J52" s="7"/>
    </row>
    <row r="53" spans="1:23">
      <c r="A53" s="55"/>
      <c r="B53" s="56"/>
      <c r="C53" s="4"/>
      <c r="D53" s="4"/>
      <c r="E53" s="4"/>
      <c r="F53" s="4"/>
      <c r="G53" s="4"/>
      <c r="H53" s="4"/>
      <c r="I53" s="4"/>
      <c r="J53" s="7"/>
    </row>
    <row r="54" spans="1:23">
      <c r="A54" s="9" t="s">
        <v>211</v>
      </c>
      <c r="B54" s="4"/>
      <c r="C54" s="4"/>
      <c r="D54" s="4"/>
      <c r="E54" s="4"/>
      <c r="F54" s="4"/>
      <c r="G54" s="4"/>
      <c r="H54" s="4"/>
      <c r="I54" s="4"/>
      <c r="J54" s="7"/>
    </row>
    <row r="55" spans="1:23">
      <c r="F55" s="4"/>
      <c r="G55" s="4"/>
      <c r="H55" s="4"/>
      <c r="I55" s="4"/>
      <c r="J55" s="7"/>
    </row>
    <row r="56" spans="1:23">
      <c r="A56" s="9"/>
      <c r="B56" s="4"/>
      <c r="C56" s="4"/>
      <c r="D56" s="4"/>
      <c r="E56" s="4"/>
      <c r="F56" s="4"/>
      <c r="G56" s="4"/>
      <c r="H56" s="4"/>
      <c r="I56" s="4"/>
      <c r="J56" s="7"/>
      <c r="M56" s="10" t="s">
        <v>42</v>
      </c>
      <c r="N56" s="10"/>
      <c r="P56" t="s">
        <v>35</v>
      </c>
      <c r="R56" s="10" t="s">
        <v>42</v>
      </c>
      <c r="S56" s="10" t="s">
        <v>43</v>
      </c>
      <c r="V56" t="s">
        <v>41</v>
      </c>
      <c r="W56" t="s">
        <v>41</v>
      </c>
    </row>
    <row r="57" spans="1:23" ht="16.5">
      <c r="A57" s="8" t="s">
        <v>16</v>
      </c>
      <c r="B57" s="4"/>
      <c r="C57" s="4"/>
      <c r="D57" s="4"/>
      <c r="E57" s="4"/>
      <c r="F57" s="4"/>
      <c r="G57" s="4"/>
      <c r="H57" s="4"/>
      <c r="I57" s="4"/>
      <c r="J57" s="7"/>
      <c r="N57" s="10"/>
      <c r="P57" t="s">
        <v>36</v>
      </c>
      <c r="R57" s="12" t="s">
        <v>48</v>
      </c>
      <c r="S57" s="12" t="s">
        <v>50</v>
      </c>
      <c r="W57" t="s">
        <v>46</v>
      </c>
    </row>
    <row r="58" spans="1:23" ht="15.75">
      <c r="A58" s="32" t="s">
        <v>20</v>
      </c>
      <c r="B58" s="4"/>
      <c r="C58" s="4"/>
      <c r="D58" s="4"/>
      <c r="E58" s="4" t="s">
        <v>68</v>
      </c>
      <c r="F58" s="4"/>
      <c r="G58" s="4"/>
      <c r="H58" s="4"/>
      <c r="I58" s="4"/>
      <c r="J58" s="7"/>
      <c r="P58" t="s">
        <v>37</v>
      </c>
      <c r="R58" s="12" t="s">
        <v>49</v>
      </c>
      <c r="S58" s="13" t="s">
        <v>52</v>
      </c>
      <c r="W58" t="s">
        <v>47</v>
      </c>
    </row>
    <row r="59" spans="1:23">
      <c r="A59" s="3" t="s">
        <v>21</v>
      </c>
      <c r="B59" s="4"/>
      <c r="C59" s="4"/>
      <c r="D59" s="4"/>
      <c r="E59" s="4" t="s">
        <v>29</v>
      </c>
      <c r="F59" s="4"/>
      <c r="G59" s="4"/>
      <c r="H59" s="4"/>
      <c r="I59" s="4"/>
      <c r="J59" s="7"/>
      <c r="M59" t="s">
        <v>41</v>
      </c>
      <c r="P59" t="s">
        <v>38</v>
      </c>
      <c r="R59" s="12"/>
      <c r="S59" s="13" t="s">
        <v>53</v>
      </c>
    </row>
    <row r="60" spans="1:23">
      <c r="A60" s="3" t="s">
        <v>22</v>
      </c>
      <c r="B60" s="4"/>
      <c r="C60" s="4"/>
      <c r="D60" s="4"/>
      <c r="E60" s="4" t="s">
        <v>69</v>
      </c>
      <c r="F60" s="4"/>
      <c r="G60" s="4"/>
      <c r="H60" s="4"/>
      <c r="I60" s="4"/>
      <c r="J60" s="7"/>
    </row>
    <row r="61" spans="1:23">
      <c r="A61" s="3" t="s">
        <v>65</v>
      </c>
      <c r="B61" s="4"/>
      <c r="C61" s="4"/>
      <c r="D61" s="4"/>
      <c r="E61" s="4" t="s">
        <v>30</v>
      </c>
      <c r="F61" s="4"/>
      <c r="G61" s="4"/>
      <c r="H61" s="4"/>
      <c r="I61" s="4"/>
      <c r="J61" s="7"/>
      <c r="P61">
        <v>2</v>
      </c>
      <c r="R61" s="12" t="s">
        <v>41</v>
      </c>
      <c r="T61" t="s">
        <v>41</v>
      </c>
      <c r="V61" t="s">
        <v>41</v>
      </c>
    </row>
    <row r="62" spans="1:23">
      <c r="A62" s="33" t="s">
        <v>66</v>
      </c>
      <c r="B62" s="4"/>
      <c r="C62" s="4"/>
      <c r="D62" s="4"/>
      <c r="E62" s="4" t="s">
        <v>70</v>
      </c>
      <c r="F62" s="4"/>
      <c r="G62" s="4"/>
      <c r="H62" s="4"/>
      <c r="I62" s="4"/>
      <c r="J62" s="7"/>
      <c r="P62">
        <v>4</v>
      </c>
      <c r="R62" s="12" t="s">
        <v>51</v>
      </c>
      <c r="V62" t="s">
        <v>51</v>
      </c>
    </row>
    <row r="63" spans="1:23">
      <c r="A63" s="33" t="s">
        <v>67</v>
      </c>
      <c r="B63" s="4"/>
      <c r="C63" s="4"/>
      <c r="D63" s="4"/>
      <c r="E63" s="4" t="s">
        <v>32</v>
      </c>
      <c r="F63" s="4"/>
      <c r="G63" s="4"/>
      <c r="H63" s="4"/>
      <c r="I63" s="4"/>
      <c r="J63" s="7"/>
    </row>
    <row r="64" spans="1:23">
      <c r="A64" s="33" t="s">
        <v>25</v>
      </c>
      <c r="B64" s="4"/>
      <c r="C64" s="4"/>
      <c r="D64" s="4"/>
      <c r="E64" s="4" t="s">
        <v>31</v>
      </c>
      <c r="F64" s="4"/>
      <c r="G64" s="4"/>
      <c r="H64" s="4"/>
      <c r="I64" s="4"/>
      <c r="J64" s="7"/>
    </row>
    <row r="65" spans="1:16">
      <c r="A65" s="33" t="s">
        <v>27</v>
      </c>
      <c r="B65" s="4"/>
      <c r="C65" s="4"/>
      <c r="D65" s="4"/>
      <c r="E65" s="4" t="s">
        <v>33</v>
      </c>
      <c r="F65" s="4"/>
      <c r="G65" s="4"/>
      <c r="H65" s="4"/>
      <c r="I65" s="4"/>
      <c r="J65" s="7"/>
      <c r="L65" s="19" t="s">
        <v>101</v>
      </c>
      <c r="M65" s="20"/>
      <c r="N65" s="20"/>
      <c r="O65">
        <f>(C103/2*(H105*(1/C107 + 1/B117)) + 2/H103 * (H105*(C107+B117)))/10</f>
        <v>379.36980849608847</v>
      </c>
      <c r="P65" t="s">
        <v>71</v>
      </c>
    </row>
    <row r="66" spans="1:16">
      <c r="A66" s="33" t="s">
        <v>39</v>
      </c>
      <c r="B66" s="4"/>
      <c r="C66" s="4"/>
      <c r="D66" s="4"/>
      <c r="E66" s="4" t="s">
        <v>54</v>
      </c>
      <c r="F66" s="4"/>
      <c r="G66" s="4"/>
      <c r="H66" s="4"/>
      <c r="I66" s="4"/>
      <c r="J66" s="7"/>
      <c r="L66" s="19" t="s">
        <v>102</v>
      </c>
      <c r="M66" s="20"/>
      <c r="N66" s="20"/>
      <c r="O66">
        <f>(C103/2*(H105*(1/C107)+H107*(1/B117))+2/H103*(H105*(C107+0.75*C109)+H107*(B117+0.25*C109))+H103/2)/10</f>
        <v>492.48899204332247</v>
      </c>
      <c r="P66" t="s">
        <v>73</v>
      </c>
    </row>
    <row r="67" spans="1:16">
      <c r="A67" s="33" t="s">
        <v>64</v>
      </c>
      <c r="B67" s="4"/>
      <c r="C67" s="4"/>
      <c r="D67" s="4"/>
      <c r="E67" s="34" t="s">
        <v>182</v>
      </c>
      <c r="F67" s="4"/>
      <c r="G67" s="4"/>
      <c r="H67" s="4"/>
      <c r="I67" s="4"/>
      <c r="J67" s="7"/>
      <c r="L67" s="19" t="s">
        <v>103</v>
      </c>
      <c r="M67" s="20"/>
      <c r="N67" s="20"/>
      <c r="O67">
        <f>(C103/2*(H105*(1/C107+1/H109)+H107*(1/B117+1/C110))+2/H103*(H105*(C107+H109)+H107*(B117+C110)))/10</f>
        <v>848.58359547590931</v>
      </c>
      <c r="P67" t="s">
        <v>74</v>
      </c>
    </row>
    <row r="68" spans="1:16">
      <c r="A68" s="33" t="s">
        <v>56</v>
      </c>
      <c r="B68" s="4"/>
      <c r="C68" s="4"/>
      <c r="D68" s="4"/>
      <c r="E68" s="34" t="s">
        <v>63</v>
      </c>
      <c r="F68" s="4"/>
      <c r="G68" s="4"/>
      <c r="H68" s="4"/>
      <c r="I68" s="4"/>
      <c r="J68" s="7"/>
      <c r="L68" s="19" t="s">
        <v>104</v>
      </c>
      <c r="M68" s="20"/>
      <c r="N68" s="20"/>
      <c r="O68">
        <f>(C103/2*(H105/C107+H107/B117)+2/H103*(H105*(C107+0.75*C109)+H107*(B117+0.25*C109))+H103/2)/10</f>
        <v>492.48899204332247</v>
      </c>
      <c r="P68" t="s">
        <v>73</v>
      </c>
    </row>
    <row r="69" spans="1:16">
      <c r="A69" s="3" t="s">
        <v>57</v>
      </c>
      <c r="B69" s="4"/>
      <c r="C69" s="4"/>
      <c r="D69" s="4"/>
      <c r="E69" s="4" t="s">
        <v>60</v>
      </c>
      <c r="F69" s="4"/>
      <c r="G69" s="4"/>
      <c r="H69" s="4"/>
      <c r="I69" s="4"/>
      <c r="J69" s="7"/>
      <c r="L69" s="19" t="s">
        <v>105</v>
      </c>
      <c r="M69" s="20"/>
      <c r="N69" s="20"/>
      <c r="O69">
        <f>(C103/2*(H105*(1/C107+1/B117)+H104*(1/C108)-0.5)+2/H103*(H105*(C107+B117)))/10</f>
        <v>481.86882424411999</v>
      </c>
      <c r="P69" t="s">
        <v>84</v>
      </c>
    </row>
    <row r="70" spans="1:16">
      <c r="A70" s="3" t="s">
        <v>58</v>
      </c>
      <c r="B70" s="4"/>
      <c r="C70" s="4"/>
      <c r="D70" s="4"/>
      <c r="E70" s="34" t="s">
        <v>61</v>
      </c>
      <c r="F70" s="4"/>
      <c r="G70" s="4"/>
      <c r="H70" s="4"/>
      <c r="I70" s="4"/>
      <c r="J70" s="7"/>
      <c r="L70" s="19" t="s">
        <v>89</v>
      </c>
      <c r="M70" s="20"/>
      <c r="N70" s="20"/>
      <c r="O70">
        <f>(C103/2*(H105*(1/C107+1/B117)+H104*(1/B117+1/C108))+2/H103*(H105*(C107+B117)+H104*(B117+C108)))/10</f>
        <v>818.8031741426521</v>
      </c>
      <c r="P70" t="s">
        <v>90</v>
      </c>
    </row>
    <row r="71" spans="1:16">
      <c r="A71" s="33" t="s">
        <v>72</v>
      </c>
      <c r="B71" s="4"/>
      <c r="C71" s="4"/>
      <c r="D71" s="4"/>
      <c r="E71" s="4" t="s">
        <v>62</v>
      </c>
      <c r="F71" s="4"/>
      <c r="G71" s="4"/>
      <c r="H71" s="4"/>
      <c r="I71" s="4"/>
      <c r="J71" s="7"/>
      <c r="L71" s="19" t="s">
        <v>91</v>
      </c>
      <c r="M71" s="20"/>
      <c r="N71" s="20"/>
      <c r="O71">
        <f>(C103/2*(H105*(1/C107+1/B117)+H104*(1/C108+1/(2*B117)))+2/H103*(H105*(C107+B117)+H104*(B119+C108)))/10</f>
        <v>766.20032838541954</v>
      </c>
      <c r="P71" t="s">
        <v>92</v>
      </c>
    </row>
    <row r="72" spans="1:16">
      <c r="A72" s="33" t="s">
        <v>77</v>
      </c>
      <c r="B72" s="4"/>
      <c r="C72" s="4"/>
      <c r="D72" s="4"/>
      <c r="E72" s="34" t="s">
        <v>81</v>
      </c>
      <c r="F72" s="4"/>
      <c r="G72" s="4"/>
      <c r="H72" s="4"/>
      <c r="I72" s="4"/>
      <c r="J72" s="7"/>
      <c r="L72" s="19" t="s">
        <v>93</v>
      </c>
      <c r="M72" s="20"/>
      <c r="N72" s="20"/>
      <c r="O72">
        <f>(C103/2*(H105*(1/C107)+H107*(1/B117)+H104*(1/C108)-0.5)+2/H103*(H105*(C107+0.75*C109)+H107*(B117+0.25*C109))+H103/2)/10</f>
        <v>594.98800779135399</v>
      </c>
      <c r="P72" t="s">
        <v>94</v>
      </c>
    </row>
    <row r="73" spans="1:16">
      <c r="A73" s="35" t="s">
        <v>78</v>
      </c>
      <c r="B73" s="4"/>
      <c r="C73" s="4"/>
      <c r="D73" s="4"/>
      <c r="E73" s="4" t="s">
        <v>82</v>
      </c>
      <c r="F73" s="4"/>
      <c r="G73" s="4"/>
      <c r="H73" s="4"/>
      <c r="I73" s="4"/>
      <c r="J73" s="7"/>
      <c r="L73" s="19" t="s">
        <v>95</v>
      </c>
      <c r="M73" s="20"/>
      <c r="N73" s="20"/>
      <c r="O73">
        <f>(C103/2*(H105/C107+H108/B117+H104/C108-0.5)+2/H103*(H105*(C107+1.5*C109)+H108*(B117+0.5*C109))+H103/2)/10</f>
        <v>651.69789581912914</v>
      </c>
      <c r="P73" t="s">
        <v>96</v>
      </c>
    </row>
    <row r="74" spans="1:16">
      <c r="A74" s="35" t="s">
        <v>79</v>
      </c>
      <c r="B74" s="4"/>
      <c r="C74" s="4"/>
      <c r="D74" s="4"/>
      <c r="E74" s="4" t="s">
        <v>83</v>
      </c>
      <c r="F74" s="4"/>
      <c r="G74" s="4"/>
      <c r="H74" s="4"/>
      <c r="I74" s="4"/>
      <c r="J74" s="7"/>
      <c r="L74" s="19" t="s">
        <v>97</v>
      </c>
      <c r="M74" s="20"/>
      <c r="N74" s="20"/>
      <c r="O74">
        <f>(C103/2*(H105/C107+H108/B117+H104*(1/B117+1/C108))+2/H103*(H105*(C107+1.5*C109)+H108*(B117+0.5*C109)+H104*(B117+C108))+H103/2)/10</f>
        <v>988.63224571766136</v>
      </c>
      <c r="P74" t="s">
        <v>99</v>
      </c>
    </row>
    <row r="75" spans="1:16">
      <c r="A75" s="35" t="s">
        <v>80</v>
      </c>
      <c r="B75" s="4"/>
      <c r="C75" s="4"/>
      <c r="D75" s="4"/>
      <c r="E75" s="4" t="s">
        <v>88</v>
      </c>
      <c r="F75" s="4"/>
      <c r="G75" s="4"/>
      <c r="H75" s="4"/>
      <c r="I75" s="4"/>
      <c r="J75" s="7"/>
      <c r="L75" s="19" t="s">
        <v>98</v>
      </c>
      <c r="M75" s="20"/>
      <c r="N75" s="20"/>
      <c r="O75">
        <f>(C103/2*(H105/C107+H108/B117+H104*(1/C108+1/(2*B117)))+2/H103*(H105*(C107+1.5*C109)+H108*(B117+0.5*C109)+H104*(B119+C108))+H103/2)/10</f>
        <v>936.02939996042892</v>
      </c>
      <c r="P75" t="s">
        <v>100</v>
      </c>
    </row>
    <row r="76" spans="1:16">
      <c r="A76" s="33" t="s">
        <v>85</v>
      </c>
      <c r="B76" s="4"/>
      <c r="C76" s="4"/>
      <c r="D76" s="4"/>
      <c r="E76" s="4" t="s">
        <v>87</v>
      </c>
      <c r="F76" s="4"/>
      <c r="G76" s="4"/>
      <c r="H76" s="4"/>
      <c r="I76" s="4"/>
      <c r="J76" s="7"/>
    </row>
    <row r="77" spans="1:16">
      <c r="A77" s="35" t="s">
        <v>86</v>
      </c>
      <c r="B77" s="4"/>
      <c r="C77" s="4"/>
      <c r="D77" s="4"/>
      <c r="E77" s="4" t="s">
        <v>117</v>
      </c>
      <c r="F77" s="4"/>
      <c r="G77" s="4"/>
      <c r="H77" s="4"/>
      <c r="I77" s="4"/>
      <c r="J77" s="7"/>
    </row>
    <row r="78" spans="1:16">
      <c r="A78" s="3" t="s">
        <v>112</v>
      </c>
      <c r="B78" s="4"/>
      <c r="C78" s="4"/>
      <c r="D78" s="4"/>
      <c r="E78" s="4" t="s">
        <v>118</v>
      </c>
      <c r="F78" s="4"/>
      <c r="G78" s="4"/>
      <c r="H78" s="4"/>
      <c r="I78" s="4"/>
      <c r="J78" s="7"/>
    </row>
    <row r="79" spans="1:16">
      <c r="A79" s="3" t="s">
        <v>142</v>
      </c>
      <c r="B79" s="4"/>
      <c r="C79" s="4"/>
      <c r="D79" s="4"/>
      <c r="E79" s="34" t="s">
        <v>144</v>
      </c>
      <c r="F79" s="4"/>
      <c r="G79" s="4"/>
      <c r="H79" s="4"/>
      <c r="I79" s="4"/>
      <c r="J79" s="7"/>
    </row>
    <row r="80" spans="1:16">
      <c r="A80" s="3" t="s">
        <v>143</v>
      </c>
      <c r="B80" s="4"/>
      <c r="C80" s="4"/>
      <c r="D80" s="4"/>
      <c r="E80" s="4" t="s">
        <v>145</v>
      </c>
      <c r="F80" s="4"/>
      <c r="G80" s="4"/>
      <c r="H80" s="4"/>
      <c r="I80" s="4"/>
      <c r="J80" s="7"/>
    </row>
    <row r="81" spans="1:19">
      <c r="A81" s="3" t="s">
        <v>155</v>
      </c>
      <c r="B81" s="4"/>
      <c r="C81" s="4"/>
      <c r="D81" s="4"/>
      <c r="E81" s="4" t="s">
        <v>156</v>
      </c>
      <c r="F81" s="4"/>
      <c r="G81" s="4"/>
      <c r="H81" s="4"/>
      <c r="I81" s="4"/>
      <c r="J81" s="7"/>
    </row>
    <row r="82" spans="1:19">
      <c r="A82" s="3" t="s">
        <v>158</v>
      </c>
      <c r="B82" s="4"/>
      <c r="C82" s="4"/>
      <c r="D82" s="4"/>
      <c r="E82" s="4" t="s">
        <v>157</v>
      </c>
      <c r="F82" s="4"/>
      <c r="G82" s="4"/>
      <c r="H82" s="4"/>
      <c r="I82" s="4"/>
      <c r="J82" s="7"/>
    </row>
    <row r="83" spans="1:19">
      <c r="A83" s="3" t="s">
        <v>159</v>
      </c>
      <c r="B83" s="4"/>
      <c r="C83" s="4"/>
      <c r="D83" s="4"/>
      <c r="E83" s="4" t="s">
        <v>173</v>
      </c>
      <c r="F83" s="4"/>
      <c r="G83" s="4"/>
      <c r="H83" s="4"/>
      <c r="I83" s="4"/>
      <c r="J83" s="7"/>
    </row>
    <row r="84" spans="1:19">
      <c r="A84" s="3" t="s">
        <v>160</v>
      </c>
      <c r="B84" s="4"/>
      <c r="C84" s="4"/>
      <c r="D84" s="4"/>
      <c r="E84" s="4" t="s">
        <v>174</v>
      </c>
      <c r="F84" s="4"/>
      <c r="G84" s="4"/>
      <c r="H84" s="4"/>
      <c r="I84" s="4"/>
      <c r="J84" s="7"/>
    </row>
    <row r="85" spans="1:19">
      <c r="A85" s="36" t="s">
        <v>161</v>
      </c>
      <c r="B85" s="4"/>
      <c r="C85" s="4"/>
      <c r="D85" s="4"/>
      <c r="E85" s="4" t="s">
        <v>162</v>
      </c>
      <c r="F85" s="4"/>
      <c r="G85" s="4"/>
      <c r="H85" s="4"/>
      <c r="I85" s="4"/>
      <c r="J85" s="7"/>
    </row>
    <row r="86" spans="1:19">
      <c r="A86" s="36" t="s">
        <v>171</v>
      </c>
      <c r="B86" s="4"/>
      <c r="C86" s="4"/>
      <c r="D86" s="4"/>
      <c r="E86" s="4" t="s">
        <v>163</v>
      </c>
      <c r="F86" s="4"/>
      <c r="G86" s="4"/>
      <c r="H86" s="4"/>
      <c r="I86" s="4"/>
      <c r="J86" s="7"/>
    </row>
    <row r="87" spans="1:19">
      <c r="A87" s="3" t="s">
        <v>170</v>
      </c>
      <c r="B87" s="4"/>
      <c r="C87" s="4"/>
      <c r="D87" s="4"/>
      <c r="E87" s="37" t="s">
        <v>169</v>
      </c>
      <c r="F87" s="4"/>
      <c r="G87" s="4"/>
      <c r="H87" s="4"/>
      <c r="I87" s="4"/>
      <c r="J87" s="7"/>
    </row>
    <row r="88" spans="1:19">
      <c r="A88" s="33" t="s">
        <v>183</v>
      </c>
      <c r="B88" s="4"/>
      <c r="C88" s="4"/>
      <c r="D88" s="4"/>
      <c r="E88" s="4" t="s">
        <v>172</v>
      </c>
      <c r="F88" s="4"/>
      <c r="G88" s="4"/>
      <c r="H88" s="4"/>
      <c r="I88" s="4"/>
      <c r="J88" s="7"/>
    </row>
    <row r="89" spans="1:19">
      <c r="A89" s="3" t="s">
        <v>184</v>
      </c>
      <c r="B89" s="4"/>
      <c r="C89" s="4"/>
      <c r="D89" s="4"/>
      <c r="E89" s="4" t="s">
        <v>197</v>
      </c>
      <c r="F89" s="4"/>
      <c r="G89" s="4"/>
      <c r="H89" s="4"/>
      <c r="I89" s="4"/>
      <c r="J89" s="7"/>
    </row>
    <row r="90" spans="1:19">
      <c r="A90" s="33" t="s">
        <v>258</v>
      </c>
      <c r="B90" s="4"/>
      <c r="C90" s="4"/>
      <c r="D90" s="4"/>
      <c r="E90" s="4" t="s">
        <v>195</v>
      </c>
      <c r="F90" s="4"/>
      <c r="G90" s="4"/>
      <c r="H90" s="4"/>
      <c r="I90" s="4"/>
      <c r="J90" s="7"/>
    </row>
    <row r="91" spans="1:19">
      <c r="A91" s="3" t="s">
        <v>259</v>
      </c>
      <c r="B91" s="4"/>
      <c r="C91" s="4"/>
      <c r="D91" s="4"/>
      <c r="E91" s="4" t="s">
        <v>196</v>
      </c>
      <c r="F91" s="4"/>
      <c r="G91" s="4"/>
      <c r="H91" s="4"/>
      <c r="I91" s="4"/>
      <c r="J91" s="7"/>
    </row>
    <row r="92" spans="1:19">
      <c r="A92" s="3" t="s">
        <v>260</v>
      </c>
      <c r="B92" s="4"/>
      <c r="C92" s="4"/>
      <c r="D92" s="4"/>
      <c r="E92" s="34" t="s">
        <v>304</v>
      </c>
      <c r="F92" s="4"/>
      <c r="G92" s="4"/>
      <c r="H92" s="4"/>
      <c r="I92" s="4"/>
      <c r="J92" s="7"/>
    </row>
    <row r="93" spans="1:19">
      <c r="A93" s="34" t="s">
        <v>283</v>
      </c>
      <c r="B93" s="4"/>
      <c r="C93" s="4"/>
      <c r="D93" s="4"/>
      <c r="E93" s="34" t="s">
        <v>284</v>
      </c>
      <c r="F93" s="4"/>
      <c r="G93" s="4"/>
      <c r="H93" s="4"/>
      <c r="I93" s="4"/>
      <c r="J93" s="7"/>
    </row>
    <row r="94" spans="1:19">
      <c r="A94" s="86" t="s">
        <v>305</v>
      </c>
      <c r="B94" s="4"/>
      <c r="C94" s="4"/>
      <c r="D94" s="4"/>
      <c r="E94" s="34" t="s">
        <v>307</v>
      </c>
      <c r="F94" s="4"/>
      <c r="G94" s="4"/>
      <c r="H94" s="4"/>
      <c r="I94" s="4"/>
      <c r="J94" s="7"/>
    </row>
    <row r="95" spans="1:19">
      <c r="A95" s="86" t="s">
        <v>306</v>
      </c>
      <c r="B95" s="4"/>
      <c r="D95" s="4"/>
      <c r="E95" s="34"/>
      <c r="F95" s="4"/>
      <c r="G95" s="4"/>
      <c r="H95" s="4"/>
      <c r="I95" s="4"/>
      <c r="J95" s="7"/>
    </row>
    <row r="96" spans="1:19" ht="16.5" thickBot="1">
      <c r="A96" s="38" t="s">
        <v>17</v>
      </c>
      <c r="B96" s="4"/>
      <c r="C96" s="136" t="str">
        <f>IF(AND(C97="Extended.End.Plate",OR(C98="F.2",C98="F.4")),"Select the appropriate Bolts &amp; Stiffeners Arrangement.",IF(AND(C97="Flush.End.Plate",OR(C98="E.4",C98="E.6",C98="E.8")),"Select the appropriate Bolts &amp; Stiffeners  Arrangement.",""))</f>
        <v/>
      </c>
      <c r="D96" s="4"/>
      <c r="E96" s="4"/>
      <c r="F96" s="4"/>
      <c r="G96" s="4"/>
      <c r="H96" s="4"/>
      <c r="I96" s="4"/>
      <c r="J96" s="7"/>
      <c r="M96" t="s">
        <v>199</v>
      </c>
      <c r="O96" t="s">
        <v>199</v>
      </c>
      <c r="Q96" t="s">
        <v>199</v>
      </c>
      <c r="S96" t="s">
        <v>199</v>
      </c>
    </row>
    <row r="97" spans="1:21" ht="15.75" thickBot="1">
      <c r="A97" s="109" t="s">
        <v>18</v>
      </c>
      <c r="B97" s="110"/>
      <c r="C97" s="111" t="s">
        <v>43</v>
      </c>
      <c r="D97" s="113"/>
      <c r="E97" s="4"/>
      <c r="F97" s="4"/>
      <c r="G97" s="40" t="s">
        <v>34</v>
      </c>
      <c r="H97" s="31" t="s">
        <v>35</v>
      </c>
      <c r="I97" s="4"/>
      <c r="J97" s="7"/>
      <c r="M97" t="s">
        <v>200</v>
      </c>
      <c r="O97" t="s">
        <v>200</v>
      </c>
    </row>
    <row r="98" spans="1:21" ht="16.5" thickBot="1">
      <c r="A98" s="107" t="s">
        <v>44</v>
      </c>
      <c r="B98" s="108"/>
      <c r="C98" s="18" t="s">
        <v>50</v>
      </c>
      <c r="E98" s="4"/>
      <c r="F98" s="105" t="s">
        <v>201</v>
      </c>
      <c r="G98" s="106"/>
      <c r="H98" s="111" t="s">
        <v>200</v>
      </c>
      <c r="I98" s="113"/>
      <c r="J98" s="7"/>
    </row>
    <row r="99" spans="1:21" ht="16.5" thickBot="1">
      <c r="A99" s="107" t="s">
        <v>45</v>
      </c>
      <c r="B99" s="108"/>
      <c r="C99" s="111" t="s">
        <v>41</v>
      </c>
      <c r="D99" s="112"/>
      <c r="E99" s="112"/>
      <c r="F99" s="113"/>
      <c r="G99" s="40" t="s">
        <v>198</v>
      </c>
      <c r="H99" s="59">
        <v>10</v>
      </c>
      <c r="I99" s="4" t="s">
        <v>23</v>
      </c>
      <c r="J99" s="7"/>
      <c r="O99" t="s">
        <v>278</v>
      </c>
    </row>
    <row r="100" spans="1:21" ht="16.5" thickBot="1">
      <c r="A100" s="80" t="s">
        <v>277</v>
      </c>
      <c r="B100" s="79"/>
      <c r="C100" s="111" t="s">
        <v>278</v>
      </c>
      <c r="D100" s="113"/>
      <c r="E100" s="78"/>
      <c r="F100" s="78"/>
      <c r="G100" s="41" t="s">
        <v>276</v>
      </c>
      <c r="H100" s="59">
        <v>200</v>
      </c>
      <c r="I100" s="4" t="s">
        <v>23</v>
      </c>
      <c r="J100" s="7"/>
      <c r="O100" t="s">
        <v>279</v>
      </c>
    </row>
    <row r="101" spans="1:21" ht="16.5" thickBot="1">
      <c r="A101" s="80"/>
      <c r="B101" s="79" t="s">
        <v>282</v>
      </c>
      <c r="C101" s="111">
        <v>4.09</v>
      </c>
      <c r="D101" s="113"/>
      <c r="E101" s="4" t="s">
        <v>55</v>
      </c>
      <c r="F101" s="78"/>
      <c r="G101" s="41" t="s">
        <v>281</v>
      </c>
      <c r="H101" s="59">
        <v>13</v>
      </c>
      <c r="I101" s="4" t="s">
        <v>23</v>
      </c>
      <c r="J101" s="7"/>
      <c r="O101" s="12">
        <f>H100-H101-3*H99</f>
        <v>157</v>
      </c>
      <c r="P101" s="12">
        <f>C104/2+H113/2</f>
        <v>309</v>
      </c>
      <c r="Q101" s="12"/>
    </row>
    <row r="102" spans="1:21" ht="15.75" thickBot="1">
      <c r="A102" s="3"/>
      <c r="B102" s="40" t="s">
        <v>127</v>
      </c>
      <c r="C102" s="15">
        <v>10</v>
      </c>
      <c r="D102" s="4" t="s">
        <v>23</v>
      </c>
      <c r="E102" s="4"/>
      <c r="F102" s="4"/>
      <c r="G102" s="40" t="s">
        <v>126</v>
      </c>
      <c r="H102" s="58">
        <v>19.05</v>
      </c>
      <c r="I102" s="4" t="s">
        <v>23</v>
      </c>
      <c r="J102" s="7"/>
      <c r="M102" s="60">
        <f>H107</f>
        <v>600</v>
      </c>
      <c r="O102" s="12" t="s">
        <v>291</v>
      </c>
      <c r="P102" s="12">
        <f>C104/2-H99-H113/2</f>
        <v>281</v>
      </c>
      <c r="Q102" s="12">
        <f>C104-5*H99</f>
        <v>550</v>
      </c>
    </row>
    <row r="103" spans="1:21" ht="15.75" thickBot="1">
      <c r="A103" s="3"/>
      <c r="B103" s="40" t="s">
        <v>128</v>
      </c>
      <c r="C103" s="14">
        <v>203</v>
      </c>
      <c r="D103" s="4" t="s">
        <v>23</v>
      </c>
      <c r="E103" s="4"/>
      <c r="F103" s="4"/>
      <c r="G103" s="40" t="s">
        <v>26</v>
      </c>
      <c r="H103" s="58">
        <v>76.2</v>
      </c>
      <c r="I103" s="4" t="s">
        <v>23</v>
      </c>
      <c r="J103" s="7"/>
      <c r="P103" s="12" t="s">
        <v>289</v>
      </c>
      <c r="Q103" s="12" t="s">
        <v>290</v>
      </c>
    </row>
    <row r="104" spans="1:21" ht="15.75" thickBot="1">
      <c r="A104" s="3"/>
      <c r="B104" s="40" t="s">
        <v>24</v>
      </c>
      <c r="C104" s="14">
        <v>600</v>
      </c>
      <c r="D104" s="4" t="s">
        <v>23</v>
      </c>
      <c r="E104" s="4"/>
      <c r="F104" s="4"/>
      <c r="G104" s="40" t="s">
        <v>28</v>
      </c>
      <c r="H104" s="58">
        <v>673</v>
      </c>
      <c r="I104" s="4" t="s">
        <v>23</v>
      </c>
      <c r="J104" s="7"/>
    </row>
    <row r="105" spans="1:21" ht="15.75" thickBot="1">
      <c r="A105" s="3"/>
      <c r="B105" s="40" t="s">
        <v>129</v>
      </c>
      <c r="C105" s="14">
        <v>3.52</v>
      </c>
      <c r="D105" s="4" t="s">
        <v>55</v>
      </c>
      <c r="E105" s="4"/>
      <c r="F105" s="4"/>
      <c r="G105" s="40" t="s">
        <v>131</v>
      </c>
      <c r="H105" s="58">
        <v>565</v>
      </c>
      <c r="I105" s="4" t="s">
        <v>23</v>
      </c>
      <c r="J105" s="7"/>
      <c r="K105">
        <f>3*(E121*2.2/(H119*C102/(10*2.54^2)))^2</f>
        <v>145.6012217423405</v>
      </c>
    </row>
    <row r="106" spans="1:21" ht="15.75" thickBot="1">
      <c r="A106" s="3"/>
      <c r="B106" s="41" t="s">
        <v>273</v>
      </c>
      <c r="C106" s="14">
        <v>5</v>
      </c>
      <c r="D106" s="4" t="s">
        <v>55</v>
      </c>
      <c r="E106" s="4"/>
      <c r="F106" s="4"/>
      <c r="G106" s="22"/>
      <c r="H106" s="87"/>
      <c r="I106" s="61"/>
      <c r="J106" s="7"/>
    </row>
    <row r="107" spans="1:21" ht="15.75" thickBot="1">
      <c r="A107" s="3"/>
      <c r="B107" s="41" t="s">
        <v>300</v>
      </c>
      <c r="C107" s="14">
        <v>44.45</v>
      </c>
      <c r="D107" s="4" t="s">
        <v>23</v>
      </c>
      <c r="E107" s="4"/>
      <c r="F107" s="4"/>
      <c r="G107" s="40" t="s">
        <v>132</v>
      </c>
      <c r="H107" s="89">
        <v>600</v>
      </c>
      <c r="I107" s="4" t="s">
        <v>23</v>
      </c>
      <c r="J107" s="7"/>
      <c r="K107">
        <f>H119*(C102/10)^2/(4*B120)/2.54</f>
        <v>0.69648425681433057</v>
      </c>
      <c r="L107" s="91" t="s">
        <v>113</v>
      </c>
      <c r="M107" s="91"/>
      <c r="P107" s="91" t="s">
        <v>114</v>
      </c>
      <c r="Q107" s="91"/>
    </row>
    <row r="108" spans="1:21" ht="15.75" thickBot="1">
      <c r="A108" s="3"/>
      <c r="B108" s="82" t="s">
        <v>299</v>
      </c>
      <c r="C108" s="14">
        <v>63.5</v>
      </c>
      <c r="D108" s="4" t="s">
        <v>23</v>
      </c>
      <c r="E108" s="4"/>
      <c r="F108" s="4"/>
      <c r="G108" s="40" t="s">
        <v>133</v>
      </c>
      <c r="H108" s="89">
        <v>500</v>
      </c>
      <c r="I108" s="4" t="s">
        <v>23</v>
      </c>
      <c r="J108" s="7"/>
      <c r="L108">
        <v>33</v>
      </c>
      <c r="M108">
        <v>48</v>
      </c>
      <c r="P108">
        <v>25</v>
      </c>
      <c r="Q108" s="17">
        <f>IF(C98="E.6",127,IF(C98="E.8",127,64))</f>
        <v>64</v>
      </c>
      <c r="U108">
        <v>16</v>
      </c>
    </row>
    <row r="109" spans="1:21" ht="15.75" thickBot="1">
      <c r="A109" s="3"/>
      <c r="B109" s="40" t="s">
        <v>130</v>
      </c>
      <c r="C109" s="88">
        <v>65</v>
      </c>
      <c r="D109" s="4" t="s">
        <v>23</v>
      </c>
      <c r="E109" s="4"/>
      <c r="F109" s="4"/>
      <c r="G109" s="40" t="s">
        <v>75</v>
      </c>
      <c r="H109" s="90">
        <v>34.93</v>
      </c>
      <c r="I109" s="4" t="s">
        <v>23</v>
      </c>
      <c r="J109" s="7"/>
      <c r="L109">
        <v>48</v>
      </c>
      <c r="M109">
        <v>76</v>
      </c>
      <c r="P109">
        <v>64</v>
      </c>
      <c r="Q109">
        <v>130</v>
      </c>
      <c r="U109">
        <v>20</v>
      </c>
    </row>
    <row r="110" spans="1:21" ht="15.75" thickBot="1">
      <c r="A110" s="3"/>
      <c r="B110" s="40" t="s">
        <v>76</v>
      </c>
      <c r="C110" s="88">
        <v>31.75</v>
      </c>
      <c r="D110" s="4" t="s">
        <v>23</v>
      </c>
      <c r="E110" s="4"/>
      <c r="F110" s="4"/>
      <c r="G110" s="40" t="s">
        <v>125</v>
      </c>
      <c r="H110" s="89">
        <v>20</v>
      </c>
      <c r="I110" s="4" t="s">
        <v>23</v>
      </c>
      <c r="J110" s="7"/>
      <c r="L110">
        <v>57</v>
      </c>
      <c r="M110">
        <v>95</v>
      </c>
      <c r="P110">
        <v>70</v>
      </c>
      <c r="Q110">
        <v>178</v>
      </c>
      <c r="U110">
        <v>22</v>
      </c>
    </row>
    <row r="111" spans="1:21" ht="15.75" thickBot="1">
      <c r="A111" s="3"/>
      <c r="B111" s="40" t="s">
        <v>121</v>
      </c>
      <c r="C111" s="14">
        <v>127</v>
      </c>
      <c r="D111" s="4" t="s">
        <v>23</v>
      </c>
      <c r="E111" s="4"/>
      <c r="F111" s="4"/>
      <c r="G111" s="41" t="s">
        <v>212</v>
      </c>
      <c r="H111" s="14">
        <v>2018</v>
      </c>
      <c r="I111" s="61" t="s">
        <v>213</v>
      </c>
      <c r="J111" s="7"/>
      <c r="L111">
        <f>IF(C98="F.2",203,406)</f>
        <v>406</v>
      </c>
      <c r="M111">
        <v>610</v>
      </c>
      <c r="P111">
        <v>400</v>
      </c>
      <c r="Q111" s="17">
        <f>IF(C98="E.6",1575,IF(C98="E.8",1575,610))</f>
        <v>610</v>
      </c>
      <c r="U111">
        <v>24</v>
      </c>
    </row>
    <row r="112" spans="1:21" ht="15.75" thickBot="1">
      <c r="A112" s="120" t="s">
        <v>261</v>
      </c>
      <c r="B112" s="121"/>
      <c r="C112" s="14">
        <v>2</v>
      </c>
      <c r="D112" s="4"/>
      <c r="E112" s="4"/>
      <c r="F112" s="4"/>
      <c r="G112" s="41" t="s">
        <v>214</v>
      </c>
      <c r="H112" s="14">
        <v>0</v>
      </c>
      <c r="I112" s="61" t="s">
        <v>151</v>
      </c>
      <c r="J112" s="7"/>
      <c r="L112">
        <v>127</v>
      </c>
      <c r="M112">
        <v>152</v>
      </c>
      <c r="P112">
        <v>152</v>
      </c>
      <c r="Q112">
        <v>260</v>
      </c>
      <c r="U112">
        <v>27</v>
      </c>
    </row>
    <row r="113" spans="1:22" ht="15.75" thickBot="1">
      <c r="A113" s="120" t="s">
        <v>262</v>
      </c>
      <c r="B113" s="121"/>
      <c r="C113" s="14">
        <v>2</v>
      </c>
      <c r="D113" s="4"/>
      <c r="E113" s="4"/>
      <c r="F113" s="4"/>
      <c r="G113" s="22" t="s">
        <v>287</v>
      </c>
      <c r="H113" s="14">
        <v>18</v>
      </c>
      <c r="I113" s="4" t="s">
        <v>23</v>
      </c>
      <c r="J113" s="7"/>
    </row>
    <row r="114" spans="1:22" ht="15.75" thickBot="1">
      <c r="A114" s="39"/>
      <c r="B114" s="41" t="s">
        <v>263</v>
      </c>
      <c r="C114" s="14">
        <v>60</v>
      </c>
      <c r="D114" s="61" t="s">
        <v>23</v>
      </c>
      <c r="E114" s="4"/>
      <c r="F114" s="4"/>
      <c r="G114" s="22" t="s">
        <v>288</v>
      </c>
      <c r="H114" s="14">
        <v>4</v>
      </c>
      <c r="I114" s="4" t="s">
        <v>23</v>
      </c>
      <c r="J114" s="7"/>
    </row>
    <row r="115" spans="1:22" ht="16.5" thickBot="1">
      <c r="A115" s="38" t="s">
        <v>19</v>
      </c>
      <c r="B115" s="4"/>
      <c r="C115" s="4"/>
      <c r="D115" s="4"/>
      <c r="E115" s="4"/>
      <c r="F115" s="4"/>
      <c r="J115" s="7"/>
      <c r="L115">
        <v>5</v>
      </c>
      <c r="M115">
        <v>10</v>
      </c>
      <c r="P115">
        <v>9.5</v>
      </c>
      <c r="Q115">
        <v>26</v>
      </c>
      <c r="U115">
        <v>30</v>
      </c>
    </row>
    <row r="116" spans="1:22" ht="15.75" thickBot="1">
      <c r="A116" s="42" t="s">
        <v>138</v>
      </c>
      <c r="B116" s="11">
        <f>IF(C97=M56,1.25,1)</f>
        <v>1</v>
      </c>
      <c r="C116" s="4"/>
      <c r="D116" s="40" t="s">
        <v>147</v>
      </c>
      <c r="E116" s="16">
        <f>IF(C97="Flush.End.Plate",0,IF((H104-H99/2)&lt;0,0,H104-H99/2))</f>
        <v>668</v>
      </c>
      <c r="F116" s="4" t="s">
        <v>23</v>
      </c>
      <c r="G116" s="40" t="s">
        <v>124</v>
      </c>
      <c r="H116" s="11">
        <f>IF(OR(H97="A325N",H97="A325X")=TRUE,6.33,7.95)</f>
        <v>6.33</v>
      </c>
      <c r="I116" s="4" t="s">
        <v>55</v>
      </c>
      <c r="J116" s="7"/>
      <c r="U116">
        <v>36</v>
      </c>
    </row>
    <row r="117" spans="1:22" ht="15.75" thickBot="1">
      <c r="A117" s="42" t="s">
        <v>59</v>
      </c>
      <c r="B117" s="16">
        <f>IF(AND(C98="F.4",C99="Stiffened inside the bolt tension rows"),IF(H110&gt;=0.5*SQRT(C103*H103),0.5*SQRT(C103*H103),H110),0.5*SQRT(C103*H103))</f>
        <v>62.18641330708823</v>
      </c>
      <c r="C117" s="4" t="s">
        <v>23</v>
      </c>
      <c r="D117" s="40" t="s">
        <v>148</v>
      </c>
      <c r="E117" s="16">
        <f>IF((H105-H99/2)&lt;0,0,H105-H99/2)</f>
        <v>560</v>
      </c>
      <c r="F117" s="4" t="s">
        <v>23</v>
      </c>
      <c r="G117" s="40" t="s">
        <v>123</v>
      </c>
      <c r="H117" s="16">
        <f>PI()*(H102/10)^2/4</f>
        <v>2.8502295699234246</v>
      </c>
      <c r="I117" s="4" t="s">
        <v>119</v>
      </c>
      <c r="J117" s="7"/>
      <c r="M117" t="s">
        <v>175</v>
      </c>
      <c r="N117">
        <f>(3.682*(C102/H102)^3-0.085)*2.54</f>
        <v>1.1368967796676333</v>
      </c>
      <c r="Q117" t="s">
        <v>114</v>
      </c>
      <c r="R117" t="s">
        <v>113</v>
      </c>
    </row>
    <row r="118" spans="1:22" ht="15.75" thickBot="1">
      <c r="A118" s="42" t="s">
        <v>122</v>
      </c>
      <c r="B118" s="11">
        <f>IF(C107&gt;B117,B117,C107)</f>
        <v>44.45</v>
      </c>
      <c r="C118" s="4" t="s">
        <v>23</v>
      </c>
      <c r="D118" s="40" t="s">
        <v>149</v>
      </c>
      <c r="E118" s="16">
        <f>IF(OR((H107-H99/2)&lt;0,C98="E.4",C98="f.2"),0,H107-H99/2)</f>
        <v>0</v>
      </c>
      <c r="F118" s="4" t="s">
        <v>23</v>
      </c>
      <c r="G118" s="40" t="s">
        <v>120</v>
      </c>
      <c r="H118" s="21">
        <f>IF(AND(C97="flush.end.plate",C98="F.2",C99="Unstiffened")=TRUE,O65,IF(AND(C97="flush.end.plate",C98="F.4",C99="Unstiffened"),O66,IF(AND(C97="flush.end.plate",C98="F.4",C99="Stiffened Between the bolt tension rows")=TRUE,O67,IF(AND(C97="flush.end.plate",C98="F.4",C99="Stiffened inside the bolt tension rows")=TRUE,O68,IF(AND(C97="Extended.end.plate",C98="E.4",C99="Unstiffened")=TRUE,O69,IF(AND(C97="Extended.end.plate",C98="E.4",C99="stiffened",B117&lt;B119)=TRUE,O70,IF(AND(C97="Extended.end.plate",C98="E.4",C99="stiffened",B117&gt;=B119)=TRUE,O71,IF(AND(C97="Extended.end.plate",C98="E.6",C99="Unstiffened")=TRUE,O72,IF(AND(C97="Extended.end.plate",C98="E.8",C99="Unstiffened")=TRUE,O73,IF(AND(C97="Extended.end.plate",C98="E.8",C99="stiffened",B117&lt;B119)=TRUE,O74,IF(AND(C97="Extended.end.plate",C98="E.8",C99="stiffened",B117&gt;=B119)=TRUE,O75)))))))))))</f>
        <v>481.86882424411999</v>
      </c>
      <c r="I118" s="4" t="s">
        <v>154</v>
      </c>
      <c r="J118" s="7"/>
      <c r="M118" t="s">
        <v>175</v>
      </c>
      <c r="N118">
        <f>C111-C108</f>
        <v>63.5</v>
      </c>
      <c r="Q118">
        <f>2*(E120-H121)*E116/10+2*(E120-H120)*(E117+E119)/10+2*E122*E118/10</f>
        <v>2933.2278674697627</v>
      </c>
      <c r="R118">
        <f>2*(E120-H120)*(E117+E118)/10</f>
        <v>1343.3803117310003</v>
      </c>
      <c r="U118" s="91" t="s">
        <v>301</v>
      </c>
      <c r="V118" s="91"/>
    </row>
    <row r="119" spans="1:22" ht="15.75" thickBot="1">
      <c r="A119" s="42" t="s">
        <v>165</v>
      </c>
      <c r="B119" s="26">
        <f>IF(C97="Flush.End.Plate","Not Required",C111-C108)</f>
        <v>63.5</v>
      </c>
      <c r="C119" s="4" t="s">
        <v>23</v>
      </c>
      <c r="D119" s="40" t="s">
        <v>176</v>
      </c>
      <c r="E119" s="16">
        <f>IF(OR((H108-H99/2)&lt;0,C98="F.2",C98="F.4",C98="E.4",C98="E.6"),0,H108-H99/2)</f>
        <v>0</v>
      </c>
      <c r="F119" s="4" t="s">
        <v>23</v>
      </c>
      <c r="G119" s="22" t="s">
        <v>153</v>
      </c>
      <c r="H119" s="16">
        <f>(C103/2-(H102+2))/10</f>
        <v>8.0449999999999999</v>
      </c>
      <c r="I119" s="4" t="s">
        <v>154</v>
      </c>
      <c r="J119" s="7"/>
      <c r="Q119">
        <f>2*(E120-H121)*E116/10+2*E122*(E117+E118+E119)/10</f>
        <v>2297.0921203012813</v>
      </c>
      <c r="R119">
        <f>2*E122*(E117+E118)/10</f>
        <v>707.2445645625188</v>
      </c>
      <c r="U119">
        <v>3.3759999999999999</v>
      </c>
      <c r="V119" t="s">
        <v>35</v>
      </c>
    </row>
    <row r="120" spans="1:22" ht="15.75" thickBot="1">
      <c r="A120" s="42" t="s">
        <v>166</v>
      </c>
      <c r="B120" s="16">
        <f>(3.682*(C102/H102)^3-0.085)*2.54</f>
        <v>1.1368967796676333</v>
      </c>
      <c r="C120" s="4" t="s">
        <v>154</v>
      </c>
      <c r="D120" s="22" t="s">
        <v>150</v>
      </c>
      <c r="E120" s="23">
        <f>H116*H117</f>
        <v>18.041953177615277</v>
      </c>
      <c r="F120" s="4" t="s">
        <v>151</v>
      </c>
      <c r="G120" s="22" t="s">
        <v>167</v>
      </c>
      <c r="H120" s="16">
        <f>IF(H119/2.54*(C102/25.4)^2/(4*B120/2.54)*SQRT((C105*14.22)^2-3*(E121*2.2/(H119*C102/(10*2.54^2)))^2)*0.454&lt;=0,"End Plate Is not Adequate",H119/2.54*(C102/25.4)^2/(4*B120/2.54)*SQRT((C105*14.22)^2-3*(E121*2.2/(H119*C102/(10*2.54^2)))^2)*0.454)</f>
        <v>6.0474861085884877</v>
      </c>
      <c r="I120" s="4" t="s">
        <v>151</v>
      </c>
      <c r="J120" s="7"/>
      <c r="Q120">
        <f>2*(E120-H120)*(E117+E119)/10+2*E122*(E116+E118)/10</f>
        <v>2187.0220423162909</v>
      </c>
      <c r="U120">
        <v>4.22</v>
      </c>
      <c r="V120" t="s">
        <v>36</v>
      </c>
    </row>
    <row r="121" spans="1:22" ht="15.75" thickBot="1">
      <c r="A121" s="42" t="s">
        <v>215</v>
      </c>
      <c r="B121" s="27">
        <f>IF(C97="Flush.End.Plate","Not required",MIN(N117:N118))</f>
        <v>1.1368967796676333</v>
      </c>
      <c r="C121" s="4" t="s">
        <v>154</v>
      </c>
      <c r="D121" s="22" t="s">
        <v>164</v>
      </c>
      <c r="E121" s="16">
        <f>((C102/10)^2*C105*(0.85*C103/20+0.8*H119)+PI()*(H102/10)^3*H116/8)/(4*B118/10)</f>
        <v>3.9487334309155533</v>
      </c>
      <c r="F121" s="4" t="s">
        <v>151</v>
      </c>
      <c r="G121" s="22" t="s">
        <v>168</v>
      </c>
      <c r="H121" s="27">
        <f>IF(C97="Flush.End.Plate","Not Required",IF(Q124&lt;0,"End Plate Is not adequate",Q124))</f>
        <v>6.1418966226844205</v>
      </c>
      <c r="I121" s="4" t="s">
        <v>151</v>
      </c>
      <c r="J121" s="7"/>
      <c r="Q121">
        <f>2*E122*(E116+E117+E118+E119)/10</f>
        <v>1550.8862951478091</v>
      </c>
      <c r="U121">
        <v>4.22</v>
      </c>
      <c r="V121" t="s">
        <v>37</v>
      </c>
    </row>
    <row r="122" spans="1:22" ht="15.75" thickBot="1">
      <c r="A122" s="43" t="s">
        <v>210</v>
      </c>
      <c r="B122" s="16">
        <f>IF(C97="Flush.End.Plate","Not Required",E121*B118/C108)</f>
        <v>2.7641134016408873</v>
      </c>
      <c r="C122" s="4" t="s">
        <v>151</v>
      </c>
      <c r="D122" s="22" t="s">
        <v>202</v>
      </c>
      <c r="E122" s="16">
        <f>IF(H98="Full Tightening",E120*0.7,IF(H102&lt;=16,E120*0.75*0.7,IF(H102=19.05,E120*0.5*0.7,IF(H102=22,E120*0.375*0.7,E120*0.25*0.7))))</f>
        <v>6.3146836121653465</v>
      </c>
      <c r="F122" s="4" t="s">
        <v>151</v>
      </c>
      <c r="G122" s="22" t="s">
        <v>212</v>
      </c>
      <c r="H122" s="27">
        <f>H112/2*(C104-H99)/10+H111</f>
        <v>2018</v>
      </c>
      <c r="I122" s="61" t="s">
        <v>213</v>
      </c>
      <c r="J122" s="7"/>
      <c r="U122">
        <v>5.2750000000000004</v>
      </c>
      <c r="V122" t="s">
        <v>38</v>
      </c>
    </row>
    <row r="123" spans="1:22" ht="15.75" thickBot="1">
      <c r="A123" s="43" t="s">
        <v>285</v>
      </c>
      <c r="B123" s="81">
        <f>(H100*H113^3/12*2+2*H100*H113*P101^2+2*O101*H113^3/12+2*O101*H113*P102^2+2*H114*Q102^3/12)/10000</f>
        <v>124501.44426666667</v>
      </c>
      <c r="C123" s="61" t="s">
        <v>286</v>
      </c>
      <c r="D123" s="41" t="s">
        <v>257</v>
      </c>
      <c r="E123" s="16">
        <f>C114-(H102+2)</f>
        <v>38.950000000000003</v>
      </c>
      <c r="F123" s="61" t="s">
        <v>23</v>
      </c>
      <c r="G123" s="22" t="s">
        <v>264</v>
      </c>
      <c r="H123" s="27">
        <f>IF(H97="A325N",U119,IF(H97="A325X",U120,IF(H97="A490N",U121,U122)))</f>
        <v>3.3759999999999999</v>
      </c>
      <c r="I123" s="61" t="s">
        <v>55</v>
      </c>
      <c r="J123" s="7"/>
    </row>
    <row r="124" spans="1:22" ht="15.75" thickBot="1">
      <c r="A124" s="117" t="s">
        <v>152</v>
      </c>
      <c r="B124" s="118"/>
      <c r="C124" s="119"/>
      <c r="D124" s="130" t="str">
        <f>IF(B142&lt;0.9,"Thick Plate Behaviour (No prying Action)","Thin Plate Behaviour(W/Prying action)")</f>
        <v>Thin Plate Behaviour(W/Prying action)</v>
      </c>
      <c r="E124" s="131"/>
      <c r="F124" s="131"/>
      <c r="G124" s="131"/>
      <c r="H124" s="132"/>
      <c r="I124" s="4"/>
      <c r="J124" s="7"/>
      <c r="N124" s="25" t="str">
        <f>IF(B142&lt;0.9,"Thick","Thin")</f>
        <v>Thin</v>
      </c>
      <c r="O124" s="24"/>
      <c r="P124" s="24"/>
      <c r="Q124" s="24">
        <f>H119/2.54*(C102/25.4)^2/(4*B121/2.54)*SQRT((C105*14.22)^2-3*(B122*2.2/(H119/2.54*C102/25.4))^2)*0.454</f>
        <v>6.1418966226844205</v>
      </c>
      <c r="R124" s="24"/>
    </row>
    <row r="125" spans="1:22" ht="16.5" thickBot="1">
      <c r="A125" s="38" t="s">
        <v>40</v>
      </c>
      <c r="B125" s="4"/>
      <c r="C125" s="4"/>
      <c r="D125" s="4"/>
      <c r="E125" s="4"/>
      <c r="F125" s="4"/>
      <c r="G125" s="4"/>
      <c r="H125" s="4"/>
      <c r="I125" s="4"/>
      <c r="J125" s="7"/>
    </row>
    <row r="126" spans="1:22" ht="15.75" thickBot="1">
      <c r="A126" s="3" t="s">
        <v>106</v>
      </c>
      <c r="B126" s="44">
        <f>IF(C97="Flush.End.Plate",L108,P108)</f>
        <v>25</v>
      </c>
      <c r="C126" s="4" t="s">
        <v>134</v>
      </c>
      <c r="D126" s="44">
        <f>IF(C97="Flush.End.Plate",M108,Q108)</f>
        <v>64</v>
      </c>
      <c r="E126" s="45" t="str">
        <f>IF(AND(C107&gt;=B126,C107&lt;=D126)= TRUE,"OK","Values is not within the limits of Applicability")</f>
        <v>OK</v>
      </c>
      <c r="F126" s="4"/>
      <c r="G126" s="4"/>
      <c r="H126" s="4"/>
      <c r="I126" s="4"/>
      <c r="J126" s="7"/>
      <c r="O126" s="16" t="b">
        <f>IF(AND(J103="flush.end.plate",J104="F.2",J105="Unstiffened")=TRUE,V69,IF(AND(J103="flush.end.plate",J104="F.4",J105="Unstiffened"),V70,IF(AND(J103="flush.end.plate",J104="F.4",J105="Stiffened Between the bolt tension rows")=TRUE,V71)))</f>
        <v>0</v>
      </c>
    </row>
    <row r="127" spans="1:22">
      <c r="A127" s="3" t="s">
        <v>107</v>
      </c>
      <c r="B127" s="44">
        <f>IF(C97="Flush.End.Plate",L109,P109)</f>
        <v>64</v>
      </c>
      <c r="C127" s="4" t="s">
        <v>135</v>
      </c>
      <c r="D127" s="44">
        <f>IF(C97="Flush.End.Plate",M109,Q109)</f>
        <v>130</v>
      </c>
      <c r="E127" s="45" t="str">
        <f>IF(OR(AND(C109&gt;=B127,C109&lt;=D127)= TRUE,C98="F.2")=TRUE,"OK","Values is not within the limits of Applicability")</f>
        <v>OK</v>
      </c>
      <c r="F127" s="4"/>
      <c r="G127" s="4"/>
      <c r="H127" s="4"/>
      <c r="I127" s="4"/>
      <c r="J127" s="7"/>
    </row>
    <row r="128" spans="1:22">
      <c r="A128" s="3" t="s">
        <v>108</v>
      </c>
      <c r="B128" s="44">
        <f>IF(C97="Flush.End.Plate",L110,P110)</f>
        <v>70</v>
      </c>
      <c r="C128" s="4" t="s">
        <v>115</v>
      </c>
      <c r="D128" s="44">
        <f>IF(C97="Flush.End.Plate",M110,Q110)</f>
        <v>178</v>
      </c>
      <c r="E128" s="45" t="str">
        <f>IF(AND(H103&gt;=B128,H103&lt;=D128)= TRUE,"OK","Values is not within the limits of Applicability")</f>
        <v>OK</v>
      </c>
      <c r="F128" s="4"/>
      <c r="G128" s="4"/>
      <c r="H128" s="4"/>
      <c r="I128" s="4"/>
      <c r="J128" s="7"/>
    </row>
    <row r="129" spans="1:10">
      <c r="A129" s="3" t="s">
        <v>109</v>
      </c>
      <c r="B129" s="44">
        <f>IF(C97="Flush.End.Plate",L111,P111)</f>
        <v>400</v>
      </c>
      <c r="C129" s="4" t="s">
        <v>116</v>
      </c>
      <c r="D129" s="44">
        <f>IF(C97="Flush.End.Plate",M111,Q111)</f>
        <v>610</v>
      </c>
      <c r="E129" s="45" t="str">
        <f>IF(AND(C104&gt;=B129,C104&lt;=D129)= TRUE,"OK","Values is not within the limits of Applicability")</f>
        <v>OK</v>
      </c>
      <c r="F129" s="4"/>
      <c r="G129" s="4"/>
      <c r="H129" s="4"/>
      <c r="I129" s="4"/>
      <c r="J129" s="7"/>
    </row>
    <row r="130" spans="1:10">
      <c r="A130" s="3" t="s">
        <v>110</v>
      </c>
      <c r="B130" s="44">
        <f>IF(C97="Flush.End.Plate",L112,P112)</f>
        <v>152</v>
      </c>
      <c r="C130" s="4" t="s">
        <v>136</v>
      </c>
      <c r="D130" s="44">
        <f>IF(C97="Flush.End.Plate",M112,Q112)</f>
        <v>260</v>
      </c>
      <c r="E130" s="45" t="str">
        <f>IF(AND(C103&gt;=B130,C103&lt;=D130)= TRUE,"OK","Values is not within the limits of Applicability")</f>
        <v>OK</v>
      </c>
      <c r="F130" s="4"/>
      <c r="G130" s="4"/>
      <c r="H130" s="4"/>
      <c r="I130" s="4"/>
      <c r="J130" s="7"/>
    </row>
    <row r="131" spans="1:10">
      <c r="A131" s="3" t="s">
        <v>111</v>
      </c>
      <c r="B131" s="44">
        <f>IF(C97="Flush.End.Plate",L115,P115)</f>
        <v>9.5</v>
      </c>
      <c r="C131" s="4" t="s">
        <v>137</v>
      </c>
      <c r="D131" s="44">
        <f>IF(C97="Flush.End.Plate",M115,Q115)</f>
        <v>26</v>
      </c>
      <c r="E131" s="45" t="str">
        <f>IF(AND(H99&gt;=B131,H99&lt;=D131)= TRUE,"OK","Values is not within the limits of Applicability")</f>
        <v>OK</v>
      </c>
      <c r="F131" s="4"/>
      <c r="G131" s="4"/>
      <c r="H131" s="4"/>
      <c r="I131" s="4"/>
      <c r="J131" s="7"/>
    </row>
    <row r="132" spans="1:10">
      <c r="A132" s="3"/>
      <c r="B132" s="4"/>
      <c r="C132" s="4"/>
      <c r="D132" s="4"/>
      <c r="E132" s="4"/>
      <c r="F132" s="4"/>
      <c r="G132" s="4"/>
      <c r="H132" s="4"/>
      <c r="I132" s="4"/>
      <c r="J132" s="7"/>
    </row>
    <row r="133" spans="1:10" ht="15.75">
      <c r="A133" s="38" t="s">
        <v>140</v>
      </c>
      <c r="B133" s="4"/>
      <c r="C133" s="4"/>
      <c r="D133" s="4"/>
      <c r="E133" s="4"/>
      <c r="F133" s="4"/>
      <c r="G133" s="4"/>
      <c r="H133" s="4"/>
      <c r="I133" s="4"/>
      <c r="J133" s="7"/>
    </row>
    <row r="134" spans="1:10">
      <c r="A134" s="3"/>
      <c r="B134" s="4"/>
      <c r="C134" s="4"/>
      <c r="D134" s="4"/>
      <c r="E134" s="4"/>
      <c r="F134" s="4"/>
      <c r="G134" s="4"/>
      <c r="H134" s="4"/>
      <c r="I134" s="4"/>
      <c r="J134" s="7"/>
    </row>
    <row r="135" spans="1:10">
      <c r="A135" s="46" t="s">
        <v>177</v>
      </c>
      <c r="B135" s="4"/>
      <c r="C135" s="4"/>
      <c r="D135" s="4"/>
      <c r="E135" s="4"/>
      <c r="F135" s="4"/>
      <c r="G135" s="4"/>
      <c r="H135" s="4"/>
      <c r="I135" s="4"/>
      <c r="J135" s="7"/>
    </row>
    <row r="136" spans="1:10">
      <c r="A136" s="3" t="s">
        <v>180</v>
      </c>
      <c r="B136" s="47">
        <v>0.9</v>
      </c>
      <c r="C136" s="4"/>
      <c r="D136" s="4"/>
      <c r="E136" s="4"/>
      <c r="F136" s="4"/>
      <c r="G136" s="4"/>
      <c r="H136" s="4"/>
      <c r="I136" s="4"/>
      <c r="J136" s="7"/>
    </row>
    <row r="137" spans="1:10" ht="15.75" thickBot="1">
      <c r="A137" s="3" t="s">
        <v>209</v>
      </c>
      <c r="B137" s="4" t="s">
        <v>146</v>
      </c>
      <c r="C137" s="4"/>
      <c r="D137" s="29">
        <f>C105*(C102/10)^2*H118</f>
        <v>1696.1782613393025</v>
      </c>
      <c r="E137" s="4" t="s">
        <v>141</v>
      </c>
      <c r="F137" s="4"/>
      <c r="G137" s="4"/>
      <c r="H137" s="4"/>
      <c r="I137" s="4"/>
      <c r="J137" s="7"/>
    </row>
    <row r="138" spans="1:10" ht="18" thickBot="1">
      <c r="A138" s="114" t="s">
        <v>181</v>
      </c>
      <c r="B138" s="115"/>
      <c r="C138" s="30">
        <f>B136*D137/B116</f>
        <v>1526.5604352053722</v>
      </c>
      <c r="D138" s="4" t="s">
        <v>141</v>
      </c>
      <c r="F138" s="4"/>
      <c r="G138" s="4"/>
      <c r="H138" s="4"/>
      <c r="I138" s="4"/>
      <c r="J138" s="7"/>
    </row>
    <row r="139" spans="1:10">
      <c r="A139" s="46" t="s">
        <v>255</v>
      </c>
      <c r="B139" s="48"/>
      <c r="C139" s="48"/>
      <c r="D139" s="48"/>
      <c r="E139" s="48"/>
      <c r="F139" s="4"/>
      <c r="G139" s="4"/>
      <c r="H139" s="4"/>
      <c r="I139" s="4"/>
      <c r="J139" s="7"/>
    </row>
    <row r="140" spans="1:10">
      <c r="A140" s="3" t="s">
        <v>179</v>
      </c>
      <c r="B140" s="47">
        <v>0.75</v>
      </c>
      <c r="C140" s="48"/>
      <c r="D140" s="48"/>
      <c r="E140" s="48"/>
      <c r="F140" s="4"/>
      <c r="G140" s="4"/>
      <c r="H140" s="4"/>
      <c r="I140" s="4"/>
      <c r="J140" s="7"/>
    </row>
    <row r="141" spans="1:10" ht="17.25">
      <c r="A141" s="3" t="s">
        <v>216</v>
      </c>
      <c r="B141" s="4" t="s">
        <v>218</v>
      </c>
      <c r="C141" s="4"/>
      <c r="D141" s="29">
        <f>IF(C97="Flush.End.Plate",2*E120*(E117+E118+E119)/10,2*E120*(E116+E117+E118+E119)/10)</f>
        <v>4431.1037004223126</v>
      </c>
      <c r="E141" s="4" t="s">
        <v>141</v>
      </c>
      <c r="F141" s="4"/>
      <c r="G141" s="4"/>
      <c r="H141" s="4"/>
      <c r="I141" s="4"/>
      <c r="J141" s="7"/>
    </row>
    <row r="142" spans="1:10" ht="15.75" thickBot="1">
      <c r="A142" s="49" t="s">
        <v>178</v>
      </c>
      <c r="B142" s="50">
        <f>D141/D137</f>
        <v>2.6124044868512302</v>
      </c>
      <c r="C142" s="4"/>
      <c r="D142" s="4"/>
      <c r="E142" s="4"/>
      <c r="F142" s="4"/>
      <c r="G142" s="4"/>
      <c r="H142" s="4"/>
      <c r="I142" s="4"/>
      <c r="J142" s="7"/>
    </row>
    <row r="143" spans="1:10" ht="18" thickBot="1">
      <c r="A143" s="114" t="s">
        <v>217</v>
      </c>
      <c r="B143" s="116"/>
      <c r="C143" s="30">
        <f>B140*D141</f>
        <v>3323.3277753167345</v>
      </c>
      <c r="D143" s="4" t="s">
        <v>141</v>
      </c>
      <c r="E143" s="4"/>
      <c r="F143" s="4"/>
      <c r="G143" s="4"/>
      <c r="H143" s="4"/>
      <c r="I143" s="4"/>
      <c r="J143" s="7"/>
    </row>
    <row r="144" spans="1:10">
      <c r="A144" s="46" t="s">
        <v>256</v>
      </c>
      <c r="B144" s="4"/>
      <c r="C144" s="4"/>
      <c r="D144" s="4"/>
      <c r="E144" s="4"/>
      <c r="F144" s="4"/>
      <c r="G144" s="4"/>
      <c r="H144" s="4"/>
      <c r="I144" s="4"/>
      <c r="J144" s="7"/>
    </row>
    <row r="145" spans="1:10">
      <c r="A145" s="3"/>
      <c r="B145" s="4"/>
      <c r="C145" s="4"/>
      <c r="D145" s="4"/>
      <c r="E145" s="4"/>
      <c r="F145" s="4"/>
      <c r="G145" s="4"/>
      <c r="H145" s="4"/>
      <c r="I145" s="4"/>
      <c r="J145" s="7"/>
    </row>
    <row r="146" spans="1:10">
      <c r="A146" s="51" t="s">
        <v>185</v>
      </c>
      <c r="B146" s="4"/>
      <c r="C146" s="4"/>
      <c r="D146" s="4"/>
      <c r="E146" s="4"/>
      <c r="F146" s="4"/>
      <c r="G146" s="52" t="s">
        <v>192</v>
      </c>
      <c r="H146" s="4"/>
      <c r="I146" s="4"/>
      <c r="J146" s="7"/>
    </row>
    <row r="147" spans="1:10">
      <c r="A147" s="3" t="s">
        <v>179</v>
      </c>
      <c r="B147" s="47">
        <v>0.75</v>
      </c>
      <c r="C147" s="4"/>
      <c r="D147" s="4"/>
      <c r="E147" s="4"/>
      <c r="F147" s="4"/>
      <c r="G147" s="4" t="s">
        <v>179</v>
      </c>
      <c r="H147" s="47">
        <v>0.75</v>
      </c>
      <c r="I147" s="4"/>
      <c r="J147" s="7"/>
    </row>
    <row r="148" spans="1:10">
      <c r="A148" s="3" t="s">
        <v>186</v>
      </c>
      <c r="B148" s="4"/>
      <c r="C148" s="4"/>
      <c r="D148" s="4"/>
      <c r="E148" s="4"/>
      <c r="F148" s="4"/>
      <c r="G148" s="4" t="s">
        <v>186</v>
      </c>
      <c r="H148" s="4"/>
      <c r="I148" s="4"/>
      <c r="J148" s="7"/>
    </row>
    <row r="149" spans="1:10">
      <c r="A149" s="3"/>
      <c r="B149" s="4" t="s">
        <v>188</v>
      </c>
      <c r="C149" s="4"/>
      <c r="D149" s="4"/>
      <c r="E149" s="4"/>
      <c r="F149" s="4"/>
      <c r="G149" s="4"/>
      <c r="H149" s="4" t="s">
        <v>194</v>
      </c>
      <c r="I149" s="4"/>
      <c r="J149" s="7"/>
    </row>
    <row r="150" spans="1:10">
      <c r="A150" s="3"/>
      <c r="B150" s="4" t="s">
        <v>189</v>
      </c>
      <c r="C150" s="4"/>
      <c r="D150" s="4"/>
      <c r="E150" s="4"/>
      <c r="F150" s="4"/>
      <c r="G150" s="4"/>
      <c r="H150" s="4" t="s">
        <v>193</v>
      </c>
      <c r="I150" s="4"/>
      <c r="J150" s="7"/>
    </row>
    <row r="151" spans="1:10" ht="16.5">
      <c r="A151" s="3"/>
      <c r="B151" s="4" t="s">
        <v>190</v>
      </c>
      <c r="C151" s="4"/>
      <c r="D151" s="4"/>
      <c r="E151" s="4"/>
      <c r="F151" s="4"/>
      <c r="G151" s="53" t="s">
        <v>187</v>
      </c>
      <c r="H151" s="4"/>
      <c r="I151" s="4"/>
      <c r="J151" s="7"/>
    </row>
    <row r="152" spans="1:10">
      <c r="A152" s="3"/>
      <c r="B152" s="4" t="s">
        <v>191</v>
      </c>
      <c r="C152" s="4"/>
      <c r="D152" s="4"/>
      <c r="E152" s="4"/>
      <c r="F152" s="4"/>
      <c r="G152" s="4"/>
      <c r="H152" s="4"/>
      <c r="I152" s="4"/>
      <c r="J152" s="7"/>
    </row>
    <row r="153" spans="1:10" ht="16.5">
      <c r="A153" s="54" t="s">
        <v>187</v>
      </c>
      <c r="B153" s="4"/>
      <c r="C153" s="4"/>
      <c r="D153" s="4"/>
      <c r="E153" s="4"/>
      <c r="F153" s="4"/>
      <c r="G153" s="4"/>
      <c r="H153" s="4"/>
      <c r="I153" s="4"/>
      <c r="J153" s="7"/>
    </row>
    <row r="154" spans="1:10" ht="15.75" thickBot="1">
      <c r="A154" s="51"/>
      <c r="B154" s="4"/>
      <c r="C154" s="4"/>
      <c r="D154" s="4"/>
      <c r="E154" s="4"/>
      <c r="F154" s="4"/>
      <c r="G154" s="4"/>
      <c r="H154" s="4"/>
      <c r="I154" s="4"/>
      <c r="J154" s="7"/>
    </row>
    <row r="155" spans="1:10" ht="15.75" thickBot="1">
      <c r="A155" s="109" t="s">
        <v>203</v>
      </c>
      <c r="B155" s="129"/>
      <c r="C155" s="30">
        <f>IF(N124="thick","Not Required",IF(C97="Flush.End.Plate",MAX(R118:R119)*B147,MAX(Q118:Q121)*B147))</f>
        <v>2199.920900602322</v>
      </c>
      <c r="D155" s="4" t="s">
        <v>141</v>
      </c>
      <c r="E155" s="84" t="str">
        <f>IF(B142&lt;0.9,"Thick Plate Behaviour (No prying Action)","Thin Plate Behaviour(W/Prying action)")</f>
        <v>Thin Plate Behaviour(W/Prying action)</v>
      </c>
      <c r="F155" s="4"/>
      <c r="G155" s="4"/>
      <c r="H155" s="4"/>
      <c r="I155" s="4"/>
      <c r="J155" s="7"/>
    </row>
    <row r="156" spans="1:10">
      <c r="A156" s="3"/>
      <c r="B156" s="4"/>
      <c r="C156" s="4"/>
      <c r="D156" s="4"/>
      <c r="E156" s="4"/>
      <c r="F156" s="4"/>
      <c r="G156" s="4"/>
      <c r="H156" s="4"/>
      <c r="I156" s="4"/>
      <c r="J156" s="7"/>
    </row>
    <row r="157" spans="1:10">
      <c r="A157" s="46" t="s">
        <v>268</v>
      </c>
      <c r="B157" s="4"/>
      <c r="C157" s="4"/>
      <c r="D157" s="4"/>
      <c r="E157" s="4"/>
      <c r="F157" s="4"/>
      <c r="G157" s="4"/>
      <c r="H157" s="4"/>
      <c r="I157" s="4"/>
      <c r="J157" s="7"/>
    </row>
    <row r="158" spans="1:10" ht="15.75" thickBot="1">
      <c r="A158" s="3" t="s">
        <v>179</v>
      </c>
      <c r="B158" s="4">
        <v>0.75</v>
      </c>
      <c r="C158" s="4"/>
      <c r="D158" s="4"/>
      <c r="E158" s="4"/>
      <c r="F158" s="4"/>
      <c r="G158" s="4"/>
      <c r="H158" s="4"/>
      <c r="I158" s="4"/>
      <c r="J158" s="7"/>
    </row>
    <row r="159" spans="1:10" ht="15.75" thickBot="1">
      <c r="A159" s="3" t="s">
        <v>265</v>
      </c>
      <c r="B159" s="4" t="s">
        <v>266</v>
      </c>
      <c r="C159" s="76" t="s">
        <v>267</v>
      </c>
      <c r="D159" s="30">
        <f>B158*H123*H117*C112*C113</f>
        <v>28.867125084184444</v>
      </c>
      <c r="E159" s="61" t="s">
        <v>151</v>
      </c>
      <c r="F159" s="4"/>
      <c r="G159" s="4"/>
      <c r="H159" s="4"/>
      <c r="I159" s="4"/>
      <c r="J159" s="7"/>
    </row>
    <row r="160" spans="1:10">
      <c r="A160" s="85" t="s">
        <v>302</v>
      </c>
      <c r="B160" s="4"/>
      <c r="C160" s="4"/>
      <c r="D160" s="4"/>
      <c r="E160" s="4"/>
      <c r="F160" s="4"/>
      <c r="G160" s="4"/>
      <c r="H160" s="4"/>
      <c r="I160" s="4"/>
      <c r="J160" s="7"/>
    </row>
    <row r="161" spans="1:10">
      <c r="A161" s="46" t="s">
        <v>269</v>
      </c>
      <c r="B161" s="4"/>
      <c r="C161" s="4"/>
      <c r="D161" s="4"/>
      <c r="E161" s="4"/>
      <c r="F161" s="4"/>
      <c r="G161" s="4"/>
      <c r="H161" s="4"/>
      <c r="I161" s="4"/>
      <c r="J161" s="7"/>
    </row>
    <row r="162" spans="1:10">
      <c r="A162" s="3" t="s">
        <v>179</v>
      </c>
      <c r="B162" s="4">
        <v>0.75</v>
      </c>
      <c r="C162" s="4"/>
      <c r="D162" s="4"/>
      <c r="E162" s="4"/>
      <c r="F162" s="4"/>
      <c r="G162" s="4"/>
      <c r="H162" s="4"/>
      <c r="I162" s="4"/>
      <c r="J162" s="7"/>
    </row>
    <row r="163" spans="1:10">
      <c r="A163" s="3" t="s">
        <v>270</v>
      </c>
      <c r="B163" s="4" t="s">
        <v>272</v>
      </c>
      <c r="C163" s="77"/>
      <c r="D163" s="4"/>
      <c r="E163" s="4"/>
      <c r="F163" s="83" t="s">
        <v>303</v>
      </c>
      <c r="G163" s="4"/>
      <c r="H163" s="4"/>
      <c r="I163" s="4"/>
      <c r="J163" s="7"/>
    </row>
    <row r="164" spans="1:10">
      <c r="A164" s="3" t="s">
        <v>271</v>
      </c>
      <c r="B164" s="4"/>
      <c r="C164" s="50">
        <f>IF(C112&gt;1,B162*1.2*E123/10*C102/10*C106*C112*C113,"Not Required")</f>
        <v>70.11</v>
      </c>
      <c r="D164" s="4" t="s">
        <v>151</v>
      </c>
      <c r="E164" s="4"/>
      <c r="F164" s="4"/>
      <c r="G164" s="4"/>
      <c r="H164" s="4"/>
      <c r="I164" s="4"/>
      <c r="J164" s="7"/>
    </row>
    <row r="165" spans="1:10">
      <c r="A165" s="3" t="s">
        <v>274</v>
      </c>
      <c r="B165" s="4"/>
      <c r="C165" s="50">
        <f>IF(C112&gt;1,B162*2.4*H102/10*C102/10*C106*C112*C113,"Not Required")</f>
        <v>68.58</v>
      </c>
      <c r="D165" s="4" t="s">
        <v>151</v>
      </c>
      <c r="E165" s="4"/>
      <c r="F165" s="4"/>
      <c r="G165" s="4"/>
      <c r="H165" s="4"/>
      <c r="I165" s="4"/>
      <c r="J165" s="7"/>
    </row>
    <row r="166" spans="1:10" ht="15.75" thickBot="1">
      <c r="A166" s="3"/>
      <c r="B166" s="4"/>
      <c r="C166" s="50"/>
      <c r="D166" s="4"/>
      <c r="E166" s="4"/>
      <c r="F166" s="4"/>
      <c r="G166" s="4"/>
      <c r="H166" s="4"/>
      <c r="I166" s="4"/>
      <c r="J166" s="7"/>
    </row>
    <row r="167" spans="1:10" ht="15.75" thickBot="1">
      <c r="A167" s="3"/>
      <c r="C167" s="4" t="s">
        <v>275</v>
      </c>
      <c r="D167" s="30">
        <f>MIN(C164:C165)</f>
        <v>68.58</v>
      </c>
      <c r="E167" s="4" t="s">
        <v>151</v>
      </c>
      <c r="F167" s="4"/>
      <c r="G167" s="4"/>
      <c r="H167" s="4"/>
      <c r="I167" s="4"/>
      <c r="J167" s="7"/>
    </row>
    <row r="168" spans="1:10">
      <c r="A168" s="46" t="s">
        <v>280</v>
      </c>
      <c r="B168" s="4"/>
      <c r="C168" s="4"/>
      <c r="D168" s="4"/>
      <c r="E168" s="4"/>
      <c r="F168" s="4"/>
      <c r="G168" s="4"/>
      <c r="H168" s="4"/>
      <c r="I168" s="4"/>
      <c r="J168" s="7"/>
    </row>
    <row r="169" spans="1:10">
      <c r="A169" s="3" t="s">
        <v>179</v>
      </c>
      <c r="B169" s="4">
        <v>0.75</v>
      </c>
      <c r="C169" s="4"/>
      <c r="D169" s="4"/>
      <c r="E169" s="4"/>
      <c r="F169" s="4"/>
      <c r="G169" s="4"/>
      <c r="H169" s="4"/>
      <c r="I169" s="4"/>
      <c r="J169" s="7"/>
    </row>
    <row r="170" spans="1:10">
      <c r="A170" s="3" t="s">
        <v>293</v>
      </c>
      <c r="B170" s="4" t="s">
        <v>292</v>
      </c>
      <c r="C170" s="76" t="s">
        <v>267</v>
      </c>
      <c r="D170" s="50">
        <f>B169*0.6*C101</f>
        <v>1.8404999999999998</v>
      </c>
      <c r="E170" s="4" t="s">
        <v>55</v>
      </c>
      <c r="F170" s="4"/>
      <c r="G170" s="4"/>
      <c r="H170" s="4"/>
      <c r="I170" s="4"/>
      <c r="J170" s="4"/>
    </row>
    <row r="171" spans="1:10" ht="15.75" thickBot="1">
      <c r="A171" t="s">
        <v>295</v>
      </c>
      <c r="B171" t="s">
        <v>294</v>
      </c>
    </row>
    <row r="172" spans="1:10" ht="15.75" thickBot="1">
      <c r="A172" t="s">
        <v>295</v>
      </c>
      <c r="B172" s="30">
        <f>D170*B123/(P101/10)</f>
        <v>7415.6928211262129</v>
      </c>
      <c r="C172" t="s">
        <v>141</v>
      </c>
    </row>
    <row r="174" spans="1:10" ht="15.75" thickBot="1"/>
    <row r="175" spans="1:10" ht="15.75" thickBot="1">
      <c r="C175" s="122" t="s">
        <v>296</v>
      </c>
      <c r="D175" s="123"/>
      <c r="E175" s="123"/>
      <c r="F175" s="123"/>
      <c r="G175" s="123"/>
      <c r="H175" s="124"/>
    </row>
    <row r="176" spans="1:10">
      <c r="C176" s="133" t="s">
        <v>297</v>
      </c>
      <c r="D176" s="125"/>
      <c r="E176" s="125" t="s">
        <v>298</v>
      </c>
      <c r="F176" s="125"/>
      <c r="G176" s="125" t="s">
        <v>308</v>
      </c>
      <c r="H176" s="126"/>
    </row>
    <row r="177" spans="3:8" ht="16.5" thickBot="1">
      <c r="C177" s="134">
        <f>IF(C155="Not Required",MIN(C138,C143),MIN(C138,C143,C155))</f>
        <v>1526.5604352053722</v>
      </c>
      <c r="D177" s="135"/>
      <c r="E177" s="127">
        <f>MIN(D159,D167)</f>
        <v>28.867125084184444</v>
      </c>
      <c r="F177" s="135"/>
      <c r="G177" s="127">
        <f>B172</f>
        <v>7415.6928211262129</v>
      </c>
      <c r="H177" s="128"/>
    </row>
  </sheetData>
  <mergeCells count="34">
    <mergeCell ref="U118:V118"/>
    <mergeCell ref="C175:H175"/>
    <mergeCell ref="G176:H176"/>
    <mergeCell ref="G177:H177"/>
    <mergeCell ref="A155:B155"/>
    <mergeCell ref="D124:H124"/>
    <mergeCell ref="C176:D176"/>
    <mergeCell ref="E176:F176"/>
    <mergeCell ref="C177:D177"/>
    <mergeCell ref="E177:F177"/>
    <mergeCell ref="A138:B138"/>
    <mergeCell ref="A143:B143"/>
    <mergeCell ref="H98:I98"/>
    <mergeCell ref="A124:C124"/>
    <mergeCell ref="A112:B112"/>
    <mergeCell ref="A113:B113"/>
    <mergeCell ref="C100:D100"/>
    <mergeCell ref="C101:D101"/>
    <mergeCell ref="L107:M107"/>
    <mergeCell ref="P107:Q107"/>
    <mergeCell ref="A5:I5"/>
    <mergeCell ref="B6:G6"/>
    <mergeCell ref="A9:B9"/>
    <mergeCell ref="A10:B10"/>
    <mergeCell ref="B7:C7"/>
    <mergeCell ref="B8:J8"/>
    <mergeCell ref="E9:J9"/>
    <mergeCell ref="E10:J10"/>
    <mergeCell ref="F98:G98"/>
    <mergeCell ref="A99:B99"/>
    <mergeCell ref="A97:B97"/>
    <mergeCell ref="C99:F99"/>
    <mergeCell ref="C97:D97"/>
    <mergeCell ref="A98:B98"/>
  </mergeCells>
  <dataValidations count="6">
    <dataValidation type="list" allowBlank="1" showInputMessage="1" showErrorMessage="1" sqref="C98">
      <formula1>INDIRECT($C$97)</formula1>
    </dataValidation>
    <dataValidation type="list" allowBlank="1" showInputMessage="1" showErrorMessage="1" sqref="C97:D97">
      <formula1>$R$56:$S$56</formula1>
    </dataValidation>
    <dataValidation type="list" allowBlank="1" showInputMessage="1" showErrorMessage="1" sqref="C99">
      <formula1>INDIRECT($C$98)</formula1>
    </dataValidation>
    <dataValidation type="list" allowBlank="1" showInputMessage="1" showErrorMessage="1" sqref="H97">
      <formula1>$P$56:$P$59</formula1>
    </dataValidation>
    <dataValidation type="list" allowBlank="1" showInputMessage="1" showErrorMessage="1" sqref="H98:I98">
      <formula1>INDIRECT($H$97)</formula1>
    </dataValidation>
    <dataValidation type="list" allowBlank="1" showInputMessage="1" showErrorMessage="1" sqref="C100:D100">
      <formula1>$O$99:$O$100</formula1>
    </dataValidation>
  </dataValidations>
  <pageMargins left="0.45" right="0.45" top="0.45" bottom="0.45" header="0.3" footer="0.3"/>
  <pageSetup paperSize="9" scale="80" orientation="portrait" horizontalDpi="1200" verticalDpi="1200" r:id="rId1"/>
  <rowBreaks count="2" manualBreakCount="2">
    <brk id="56" max="9" man="1"/>
    <brk id="114" max="9" man="1"/>
  </rowBreaks>
  <cellWatches>
    <cellWatch r="O67"/>
  </cellWatche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D5" sqref="D5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Design Sheet</vt:lpstr>
      <vt:lpstr>References</vt:lpstr>
      <vt:lpstr>Sheet3</vt:lpstr>
      <vt:lpstr>A325N</vt:lpstr>
      <vt:lpstr>A325X</vt:lpstr>
      <vt:lpstr>A490N</vt:lpstr>
      <vt:lpstr>A490X</vt:lpstr>
      <vt:lpstr>E.4</vt:lpstr>
      <vt:lpstr>E.6</vt:lpstr>
      <vt:lpstr>E.8</vt:lpstr>
      <vt:lpstr>Extended.End.Plate</vt:lpstr>
      <vt:lpstr>Extended_End_Plate</vt:lpstr>
      <vt:lpstr>F.2</vt:lpstr>
      <vt:lpstr>F.4</vt:lpstr>
      <vt:lpstr>Flush.End.Plate</vt:lpstr>
      <vt:lpstr>Flush_End_Plate</vt:lpstr>
      <vt:lpstr>'Design Sheet'!Print_Area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SAFWAT</dc:creator>
  <cp:lastModifiedBy>Safwat</cp:lastModifiedBy>
  <cp:lastPrinted>2010-07-18T18:02:08Z</cp:lastPrinted>
  <dcterms:created xsi:type="dcterms:W3CDTF">2010-07-16T12:44:00Z</dcterms:created>
  <dcterms:modified xsi:type="dcterms:W3CDTF">2010-12-18T18:11:55Z</dcterms:modified>
</cp:coreProperties>
</file>